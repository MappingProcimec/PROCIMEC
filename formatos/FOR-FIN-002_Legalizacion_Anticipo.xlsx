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RESPALDO PC\MB\DOCUMENTOS SIG\010726\"/>
    </mc:Choice>
  </mc:AlternateContent>
  <xr:revisionPtr revIDLastSave="0" documentId="13_ncr:1_{807789F3-3070-4D61-BAAC-FF90373B9BE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galización anticipo (3)" sheetId="3" r:id="rId1"/>
    <sheet name="Legalización anticipo (4)" sheetId="4" r:id="rId2"/>
  </sheets>
  <externalReferences>
    <externalReference r:id="rId3"/>
  </externalReferences>
  <definedNames>
    <definedName name="_xlnm.Print_Area" localSheetId="0">'Legalización anticipo (3)'!$A$1:$L$42</definedName>
    <definedName name="_xlnm.Print_Area" localSheetId="1">'Legalización anticipo (4)'!$A$1:$L$42</definedName>
    <definedName name="DATOS">[1]DATOS!$A$15:$EB$280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4" l="1"/>
  <c r="L37" i="4"/>
  <c r="L41" i="4"/>
  <c r="L40" i="4"/>
  <c r="L38" i="3"/>
  <c r="L37" i="3"/>
  <c r="L41" i="3"/>
</calcChain>
</file>

<file path=xl/sharedStrings.xml><?xml version="1.0" encoding="utf-8"?>
<sst xmlns="http://schemas.openxmlformats.org/spreadsheetml/2006/main" count="96" uniqueCount="38">
  <si>
    <t>Versión: 3
Fecha: 16-ago-2012</t>
  </si>
  <si>
    <t>LEGALIZACIÓN DE ANTICIPO</t>
  </si>
  <si>
    <t>NOMBRE</t>
  </si>
  <si>
    <t>IDENTIFICACIÓN (CC)</t>
  </si>
  <si>
    <t>FECHA DEL ANTICIPO</t>
  </si>
  <si>
    <t>FECHA DE LEGALIZACIÓN</t>
  </si>
  <si>
    <t>PROYECTO / CENTRO DE COSTO</t>
  </si>
  <si>
    <t>CIUDAD</t>
  </si>
  <si>
    <t>Num</t>
  </si>
  <si>
    <t>FECHA</t>
  </si>
  <si>
    <t>NIT- C.C.</t>
  </si>
  <si>
    <t>BENEFICIARIO DEL PAGO</t>
  </si>
  <si>
    <t>CONCEPTO</t>
  </si>
  <si>
    <t>C.C.</t>
  </si>
  <si>
    <t>VALOR</t>
  </si>
  <si>
    <t>TOTAL GASTOS:</t>
  </si>
  <si>
    <t>ELABORÓ:</t>
  </si>
  <si>
    <t>ANTICIPO:</t>
  </si>
  <si>
    <t>VERIFICÓ:</t>
  </si>
  <si>
    <t>SALDO A FAVOR EMPRESA</t>
  </si>
  <si>
    <t>SALDO A FAVOR FUNCIONARIO</t>
  </si>
  <si>
    <t>APROBÓ:</t>
  </si>
  <si>
    <t>MARCELO AUGUSTO BARRAZA SANTIAGO</t>
  </si>
  <si>
    <t>Marcelo A. Barraza Santiago</t>
  </si>
  <si>
    <t>Barranquilla</t>
  </si>
  <si>
    <t>900763355-8</t>
  </si>
  <si>
    <t>GASOLINA</t>
  </si>
  <si>
    <t>PEAJE MARAHUACO CONCESION COSTERA CARTAGENA BARRANQUILLA SAS</t>
  </si>
  <si>
    <t>PEAJE PUERTO COLOMBIA CONCESION COSTERA CARTAGENA BARRANQUILLA SAS</t>
  </si>
  <si>
    <t>PEAJE</t>
  </si>
  <si>
    <t>802017066-1</t>
  </si>
  <si>
    <t>ESTACION DE SERVICIO LA CASTELLANA SODICSA SAS</t>
  </si>
  <si>
    <t>LEOVE DAVID CARRIZO PEREZ</t>
  </si>
  <si>
    <t>KEVIN EDUARDO ORTIZ ATENCIO</t>
  </si>
  <si>
    <t>18-06-2026</t>
  </si>
  <si>
    <t>23-06-2026</t>
  </si>
  <si>
    <t>GASTOS POR ALIMENTACION</t>
  </si>
  <si>
    <t>DESMONTE Y MONTAJE PARCHE 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</si>
</sst>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\ _p_t_a_-;\-* #,##0\ _p_t_a_-;_-* &quot;-&quot;??\ _p_t_a_-;_-@_-"/>
    <numFmt numFmtId="166" formatCode="_-* #,##0_-;\-* #,##0_-;_-* &quot;-&quot;??_-;_-@_-"/>
  </numFmts>
  <fonts count="9" x14ac:knownFonts="1">
    <font>
      <sz val="10"/>
      <name val="Tahoma"/>
    </font>
    <font>
      <sz val="10"/>
      <name val="Arial"/>
      <family val="2"/>
    </font>
    <font>
      <sz val="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6"/>
      <name val="Freestyle Script"/>
      <family val="4"/>
    </font>
    <font>
      <b/>
      <sz val="8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1"/>
    <xf numFmtId="15" fontId="1" fillId="0" borderId="0" xfId="1" applyNumberFormat="1"/>
    <xf numFmtId="0" fontId="2" fillId="0" borderId="0" xfId="0" applyFont="1" applyAlignment="1">
      <alignment horizontal="right" vertical="top" wrapText="1"/>
    </xf>
    <xf numFmtId="0" fontId="1" fillId="0" borderId="0" xfId="1" applyAlignment="1">
      <alignment vertical="center" wrapText="1"/>
    </xf>
    <xf numFmtId="15" fontId="4" fillId="0" borderId="0" xfId="1" applyNumberFormat="1" applyFont="1" applyAlignment="1">
      <alignment horizontal="justify" vertical="center" wrapText="1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1" fillId="0" borderId="0" xfId="1" applyAlignment="1">
      <alignment horizontal="left" indent="2"/>
    </xf>
    <xf numFmtId="0" fontId="1" fillId="0" borderId="0" xfId="1" applyAlignment="1">
      <alignment horizontal="center"/>
    </xf>
    <xf numFmtId="0" fontId="4" fillId="0" borderId="0" xfId="1" applyFont="1"/>
    <xf numFmtId="15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6" xfId="1" applyFont="1" applyBorder="1"/>
    <xf numFmtId="15" fontId="4" fillId="0" borderId="6" xfId="1" applyNumberFormat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1" fillId="0" borderId="6" xfId="1" applyBorder="1"/>
    <xf numFmtId="0" fontId="4" fillId="0" borderId="6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15" fontId="5" fillId="0" borderId="6" xfId="1" applyNumberFormat="1" applyFont="1" applyBorder="1" applyAlignment="1">
      <alignment horizontal="center" vertical="center" wrapText="1"/>
    </xf>
    <xf numFmtId="38" fontId="5" fillId="0" borderId="6" xfId="1" applyNumberFormat="1" applyFont="1" applyBorder="1" applyAlignment="1">
      <alignment horizontal="right" vertical="center" wrapText="1"/>
    </xf>
    <xf numFmtId="166" fontId="5" fillId="0" borderId="6" xfId="2" applyNumberFormat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/>
    </xf>
    <xf numFmtId="0" fontId="1" fillId="0" borderId="0" xfId="1" applyAlignment="1">
      <alignment vertical="center"/>
    </xf>
    <xf numFmtId="38" fontId="5" fillId="0" borderId="6" xfId="1" applyNumberFormat="1" applyFont="1" applyBorder="1" applyAlignment="1">
      <alignment horizontal="right" vertical="center"/>
    </xf>
    <xf numFmtId="166" fontId="5" fillId="0" borderId="6" xfId="2" applyNumberFormat="1" applyFont="1" applyBorder="1" applyAlignment="1">
      <alignment horizontal="center" vertical="center"/>
    </xf>
    <xf numFmtId="0" fontId="1" fillId="0" borderId="9" xfId="1" applyBorder="1"/>
    <xf numFmtId="0" fontId="1" fillId="0" borderId="10" xfId="1" applyBorder="1" applyAlignment="1">
      <alignment horizontal="center"/>
    </xf>
    <xf numFmtId="0" fontId="4" fillId="0" borderId="9" xfId="1" applyFont="1" applyBorder="1"/>
    <xf numFmtId="38" fontId="4" fillId="0" borderId="0" xfId="1" applyNumberFormat="1" applyFont="1"/>
    <xf numFmtId="38" fontId="1" fillId="0" borderId="10" xfId="1" applyNumberFormat="1" applyBorder="1" applyAlignment="1">
      <alignment horizontal="center"/>
    </xf>
    <xf numFmtId="15" fontId="1" fillId="0" borderId="4" xfId="1" applyNumberFormat="1" applyBorder="1"/>
    <xf numFmtId="0" fontId="1" fillId="0" borderId="4" xfId="1" applyBorder="1"/>
    <xf numFmtId="38" fontId="4" fillId="0" borderId="0" xfId="1" applyNumberFormat="1" applyFont="1" applyAlignment="1">
      <alignment horizontal="right"/>
    </xf>
    <xf numFmtId="165" fontId="1" fillId="0" borderId="10" xfId="2" applyNumberFormat="1" applyFont="1" applyBorder="1" applyAlignment="1">
      <alignment horizontal="center"/>
    </xf>
    <xf numFmtId="0" fontId="4" fillId="0" borderId="11" xfId="1" applyFont="1" applyBorder="1"/>
    <xf numFmtId="0" fontId="4" fillId="0" borderId="4" xfId="1" applyFont="1" applyBorder="1"/>
    <xf numFmtId="38" fontId="4" fillId="0" borderId="12" xfId="1" applyNumberFormat="1" applyFont="1" applyBorder="1"/>
    <xf numFmtId="0" fontId="1" fillId="0" borderId="12" xfId="1" applyBorder="1"/>
    <xf numFmtId="38" fontId="1" fillId="0" borderId="0" xfId="1" applyNumberFormat="1" applyAlignment="1">
      <alignment horizontal="center"/>
    </xf>
    <xf numFmtId="166" fontId="5" fillId="0" borderId="6" xfId="2" applyNumberFormat="1" applyFont="1" applyFill="1" applyBorder="1" applyAlignment="1">
      <alignment horizontal="center" vertical="center"/>
    </xf>
    <xf numFmtId="164" fontId="1" fillId="0" borderId="14" xfId="2" applyFont="1" applyBorder="1" applyAlignment="1">
      <alignment horizontal="center"/>
    </xf>
    <xf numFmtId="164" fontId="1" fillId="0" borderId="13" xfId="2" applyFont="1" applyBorder="1" applyAlignment="1">
      <alignment horizontal="center"/>
    </xf>
    <xf numFmtId="15" fontId="7" fillId="0" borderId="6" xfId="1" applyNumberFormat="1" applyFont="1" applyBorder="1" applyAlignment="1">
      <alignment horizontal="center" vertical="center" wrapText="1"/>
    </xf>
    <xf numFmtId="164" fontId="8" fillId="0" borderId="14" xfId="2" applyFont="1" applyBorder="1" applyAlignment="1">
      <alignment horizontal="center"/>
    </xf>
    <xf numFmtId="164" fontId="8" fillId="0" borderId="13" xfId="2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38" fontId="4" fillId="0" borderId="5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/>
    </xf>
    <xf numFmtId="15" fontId="4" fillId="0" borderId="5" xfId="1" applyNumberFormat="1" applyFont="1" applyBorder="1" applyAlignment="1">
      <alignment horizontal="center"/>
    </xf>
    <xf numFmtId="0" fontId="4" fillId="0" borderId="6" xfId="1" applyFont="1" applyBorder="1" applyAlignment="1">
      <alignment horizontal="center" vertical="center" wrapText="1"/>
    </xf>
    <xf numFmtId="165" fontId="5" fillId="0" borderId="7" xfId="2" applyNumberFormat="1" applyFont="1" applyBorder="1" applyAlignment="1">
      <alignment horizontal="center" vertical="center"/>
    </xf>
    <xf numFmtId="165" fontId="5" fillId="0" borderId="8" xfId="2" applyNumberFormat="1" applyFont="1" applyBorder="1" applyAlignment="1">
      <alignment horizontal="center" vertical="center"/>
    </xf>
    <xf numFmtId="15" fontId="5" fillId="0" borderId="7" xfId="1" applyNumberFormat="1" applyFont="1" applyBorder="1" applyAlignment="1">
      <alignment horizontal="center" vertical="center" wrapText="1"/>
    </xf>
    <xf numFmtId="15" fontId="5" fillId="0" borderId="8" xfId="1" applyNumberFormat="1" applyFont="1" applyBorder="1" applyAlignment="1">
      <alignment horizontal="center" vertical="center" wrapText="1"/>
    </xf>
    <xf numFmtId="15" fontId="5" fillId="0" borderId="7" xfId="1" applyNumberFormat="1" applyFont="1" applyBorder="1" applyAlignment="1">
      <alignment horizontal="left" vertical="center" wrapText="1"/>
    </xf>
    <xf numFmtId="15" fontId="5" fillId="0" borderId="5" xfId="1" applyNumberFormat="1" applyFont="1" applyBorder="1" applyAlignment="1">
      <alignment horizontal="left" vertical="center" wrapText="1"/>
    </xf>
    <xf numFmtId="15" fontId="5" fillId="0" borderId="8" xfId="1" applyNumberFormat="1" applyFont="1" applyBorder="1" applyAlignment="1">
      <alignment horizontal="left" vertical="center" wrapText="1"/>
    </xf>
    <xf numFmtId="165" fontId="5" fillId="0" borderId="6" xfId="2" applyNumberFormat="1" applyFont="1" applyBorder="1" applyAlignment="1">
      <alignment horizontal="center" vertical="center"/>
    </xf>
    <xf numFmtId="15" fontId="5" fillId="0" borderId="6" xfId="1" applyNumberFormat="1" applyFont="1" applyBorder="1" applyAlignment="1">
      <alignment horizontal="left" vertical="center" wrapText="1"/>
    </xf>
    <xf numFmtId="15" fontId="6" fillId="0" borderId="4" xfId="1" applyNumberFormat="1" applyFont="1" applyBorder="1" applyAlignment="1">
      <alignment horizontal="center"/>
    </xf>
  </cellXfs>
  <cellStyles count="3">
    <cellStyle name="Millares 2" xfId="2" xr:uid="{00000000-0005-0000-0000-000000000000}"/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38100</xdr:rowOff>
    </xdr:from>
    <xdr:to>
      <xdr:col>2</xdr:col>
      <xdr:colOff>0</xdr:colOff>
      <xdr:row>1</xdr:row>
      <xdr:rowOff>455930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B08D7293-A869-401B-A315-B1FD5930C14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361950"/>
          <a:ext cx="1581150" cy="417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38100</xdr:rowOff>
    </xdr:from>
    <xdr:to>
      <xdr:col>2</xdr:col>
      <xdr:colOff>0</xdr:colOff>
      <xdr:row>1</xdr:row>
      <xdr:rowOff>455930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2F2E0807-CF0E-4C1B-B1E3-C6A9D66DFDE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361950"/>
          <a:ext cx="1581150" cy="4178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\normalizacion%20y%20auditoria%20interna\AUXNOMINA\DOCUMENTOS\NOMINA\2007\OTRO\HORAS%20EXTRAS\HORAS%20JULIO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"/>
      <sheetName val="INFORME"/>
      <sheetName val="ACLARACIONES"/>
      <sheetName val="REPOTES"/>
      <sheetName val="SEMANAS"/>
      <sheetName val="Anexo 1"/>
    </sheetNames>
    <sheetDataSet>
      <sheetData sheetId="0">
        <row r="15">
          <cell r="A15">
            <v>1</v>
          </cell>
          <cell r="B15">
            <v>27732249</v>
          </cell>
          <cell r="C15" t="str">
            <v>ACEVEDO LIZARAZO AURA MARLENY</v>
          </cell>
          <cell r="D15" t="str">
            <v>CASANARE</v>
          </cell>
          <cell r="E15">
            <v>2041</v>
          </cell>
          <cell r="F15">
            <v>9</v>
          </cell>
          <cell r="G15" t="str">
            <v>FAC (BASES MILITARES)</v>
          </cell>
          <cell r="I15">
            <v>455385</v>
          </cell>
        </row>
        <row r="16">
          <cell r="A16">
            <v>2</v>
          </cell>
          <cell r="B16">
            <v>7429683</v>
          </cell>
          <cell r="C16" t="str">
            <v>ACEVEDO LOZANO SINFOROSO</v>
          </cell>
          <cell r="D16" t="str">
            <v>CERREJON</v>
          </cell>
          <cell r="E16">
            <v>1041</v>
          </cell>
          <cell r="F16">
            <v>4</v>
          </cell>
          <cell r="G16" t="str">
            <v>MINA</v>
          </cell>
          <cell r="I16">
            <v>772000</v>
          </cell>
        </row>
        <row r="17">
          <cell r="A17">
            <v>3</v>
          </cell>
          <cell r="B17">
            <v>9431744</v>
          </cell>
          <cell r="C17" t="str">
            <v>ACEVEDO NELSON ARIEL</v>
          </cell>
          <cell r="D17" t="str">
            <v>CASANARE</v>
          </cell>
          <cell r="E17">
            <v>2041</v>
          </cell>
          <cell r="F17">
            <v>2</v>
          </cell>
          <cell r="G17" t="str">
            <v>CUSIANA</v>
          </cell>
          <cell r="I17">
            <v>861368</v>
          </cell>
        </row>
        <row r="18">
          <cell r="A18">
            <v>4</v>
          </cell>
          <cell r="B18">
            <v>79920103</v>
          </cell>
          <cell r="C18" t="str">
            <v>ACEVEDO ROJAS HECTOR LEONARDO</v>
          </cell>
          <cell r="D18" t="str">
            <v>BOGOTA</v>
          </cell>
          <cell r="E18">
            <v>2100</v>
          </cell>
          <cell r="F18">
            <v>125</v>
          </cell>
          <cell r="G18" t="str">
            <v>ICA</v>
          </cell>
          <cell r="H18" t="str">
            <v>JUNIO-JULIO</v>
          </cell>
          <cell r="I18">
            <v>520000</v>
          </cell>
          <cell r="BC18">
            <v>1</v>
          </cell>
          <cell r="BD18" t="str">
            <v>HED</v>
          </cell>
          <cell r="BQ18">
            <v>1</v>
          </cell>
          <cell r="BR18" t="str">
            <v>HED</v>
          </cell>
          <cell r="BU18">
            <v>7</v>
          </cell>
          <cell r="BV18" t="str">
            <v>HEFD</v>
          </cell>
          <cell r="BW18">
            <v>1</v>
          </cell>
          <cell r="BX18" t="str">
            <v>HED</v>
          </cell>
          <cell r="BY18">
            <v>1</v>
          </cell>
          <cell r="BZ18" t="str">
            <v>HED</v>
          </cell>
          <cell r="CA18">
            <v>1</v>
          </cell>
          <cell r="CB18" t="str">
            <v>HED</v>
          </cell>
          <cell r="CE18">
            <v>5</v>
          </cell>
          <cell r="CF18" t="str">
            <v>HED</v>
          </cell>
          <cell r="CM18">
            <v>1</v>
          </cell>
          <cell r="CN18" t="str">
            <v>HED</v>
          </cell>
        </row>
        <row r="19">
          <cell r="A19">
            <v>5</v>
          </cell>
          <cell r="B19">
            <v>17650168</v>
          </cell>
          <cell r="C19" t="str">
            <v>AGRAY OSPINA JUAN ISMAEL</v>
          </cell>
          <cell r="D19" t="str">
            <v>BOGOTA</v>
          </cell>
          <cell r="E19">
            <v>2006</v>
          </cell>
          <cell r="F19">
            <v>2</v>
          </cell>
          <cell r="G19" t="str">
            <v>INGENIERIA OPERATIVO</v>
          </cell>
          <cell r="I19">
            <v>900000</v>
          </cell>
        </row>
        <row r="20">
          <cell r="A20">
            <v>6</v>
          </cell>
          <cell r="B20">
            <v>74753350</v>
          </cell>
          <cell r="C20" t="str">
            <v>AGUILAR RUBEN ISNARDO</v>
          </cell>
          <cell r="D20" t="str">
            <v>CASANARE</v>
          </cell>
          <cell r="E20">
            <v>2041</v>
          </cell>
          <cell r="F20">
            <v>4</v>
          </cell>
          <cell r="G20" t="str">
            <v>CUPIAGUA</v>
          </cell>
          <cell r="I20">
            <v>861370</v>
          </cell>
        </row>
        <row r="21">
          <cell r="A21">
            <v>7</v>
          </cell>
          <cell r="B21">
            <v>80513638</v>
          </cell>
          <cell r="C21" t="str">
            <v>AGUILAR SUAREZ HUGO ALEXANDER</v>
          </cell>
          <cell r="D21" t="str">
            <v>BOGOTA</v>
          </cell>
          <cell r="E21">
            <v>2007</v>
          </cell>
          <cell r="F21">
            <v>1</v>
          </cell>
          <cell r="G21" t="str">
            <v xml:space="preserve">MATERIALES </v>
          </cell>
          <cell r="I21">
            <v>600000</v>
          </cell>
        </row>
        <row r="22">
          <cell r="A22">
            <v>8</v>
          </cell>
          <cell r="B22">
            <v>32746634</v>
          </cell>
          <cell r="C22" t="str">
            <v>AHUMADA TUESCA CLAUDIA MARIA</v>
          </cell>
          <cell r="D22" t="str">
            <v>BARRANQUILLA</v>
          </cell>
          <cell r="E22">
            <v>2002</v>
          </cell>
          <cell r="F22">
            <v>3</v>
          </cell>
          <cell r="I22">
            <v>650000</v>
          </cell>
        </row>
        <row r="23">
          <cell r="A23">
            <v>9</v>
          </cell>
          <cell r="B23">
            <v>72233897</v>
          </cell>
          <cell r="C23" t="str">
            <v>ALARCON FORERO DAVID</v>
          </cell>
          <cell r="D23" t="str">
            <v>BARRANQUILLA</v>
          </cell>
          <cell r="E23">
            <v>2004</v>
          </cell>
          <cell r="F23">
            <v>4</v>
          </cell>
          <cell r="I23">
            <v>2000000</v>
          </cell>
        </row>
        <row r="24">
          <cell r="A24">
            <v>10</v>
          </cell>
          <cell r="B24">
            <v>74857856</v>
          </cell>
          <cell r="C24" t="str">
            <v>ALFARO GUTIERREZ AROLDO</v>
          </cell>
          <cell r="D24" t="str">
            <v>CASANARE</v>
          </cell>
          <cell r="E24">
            <v>2041</v>
          </cell>
          <cell r="F24">
            <v>2</v>
          </cell>
          <cell r="G24" t="str">
            <v>CUSIANA</v>
          </cell>
          <cell r="I24">
            <v>1108282</v>
          </cell>
        </row>
        <row r="25">
          <cell r="A25">
            <v>11</v>
          </cell>
          <cell r="B25">
            <v>7166129</v>
          </cell>
          <cell r="C25" t="str">
            <v>ALFARO GUTIERREZ EDWIN</v>
          </cell>
          <cell r="D25" t="str">
            <v>CASANARE</v>
          </cell>
          <cell r="E25">
            <v>2041</v>
          </cell>
          <cell r="F25">
            <v>2</v>
          </cell>
          <cell r="G25" t="str">
            <v>CUSIANA</v>
          </cell>
          <cell r="I25">
            <v>2170000</v>
          </cell>
        </row>
        <row r="26">
          <cell r="A26">
            <v>12</v>
          </cell>
          <cell r="B26">
            <v>73115717</v>
          </cell>
          <cell r="C26" t="str">
            <v>ALVAREZ ORTEGA OSWALDO</v>
          </cell>
          <cell r="D26" t="str">
            <v>MEDELLIN</v>
          </cell>
          <cell r="E26">
            <v>2005</v>
          </cell>
          <cell r="F26">
            <v>2</v>
          </cell>
          <cell r="G26" t="str">
            <v>SERVICIOS</v>
          </cell>
          <cell r="I26">
            <v>750000</v>
          </cell>
        </row>
        <row r="27">
          <cell r="A27">
            <v>13</v>
          </cell>
          <cell r="B27">
            <v>84005496</v>
          </cell>
          <cell r="C27" t="str">
            <v>AMAYA ZARATE ELIECER RAFAEL</v>
          </cell>
          <cell r="D27" t="str">
            <v>CERREJON</v>
          </cell>
          <cell r="E27">
            <v>1041</v>
          </cell>
          <cell r="F27">
            <v>4</v>
          </cell>
          <cell r="G27" t="str">
            <v>MINA</v>
          </cell>
          <cell r="I27">
            <v>837000</v>
          </cell>
        </row>
        <row r="28">
          <cell r="A28">
            <v>14</v>
          </cell>
          <cell r="B28">
            <v>8642019</v>
          </cell>
          <cell r="C28" t="str">
            <v>ARIZA PALLARES ALFREDO ENRIQUE</v>
          </cell>
          <cell r="D28" t="str">
            <v>BOGOTA</v>
          </cell>
          <cell r="E28">
            <v>2100</v>
          </cell>
          <cell r="F28">
            <v>125</v>
          </cell>
          <cell r="G28" t="str">
            <v>ICA</v>
          </cell>
          <cell r="H28" t="str">
            <v>JUNIO-JULIO</v>
          </cell>
          <cell r="I28">
            <v>450000</v>
          </cell>
          <cell r="AS28">
            <v>5</v>
          </cell>
          <cell r="AT28" t="str">
            <v>HED</v>
          </cell>
          <cell r="BC28">
            <v>6</v>
          </cell>
          <cell r="BD28" t="str">
            <v>HED</v>
          </cell>
          <cell r="BE28">
            <v>7</v>
          </cell>
          <cell r="BF28" t="str">
            <v>HEFD</v>
          </cell>
          <cell r="BG28">
            <v>1</v>
          </cell>
          <cell r="BH28" t="str">
            <v>HED</v>
          </cell>
          <cell r="BI28">
            <v>1</v>
          </cell>
          <cell r="BJ28" t="str">
            <v>HED</v>
          </cell>
          <cell r="BK28">
            <v>1</v>
          </cell>
          <cell r="BL28" t="str">
            <v>HED</v>
          </cell>
          <cell r="BM28">
            <v>1</v>
          </cell>
          <cell r="BN28" t="str">
            <v>HED</v>
          </cell>
          <cell r="BQ28">
            <v>4</v>
          </cell>
          <cell r="BR28" t="str">
            <v>HED</v>
          </cell>
          <cell r="BU28">
            <v>7</v>
          </cell>
          <cell r="BV28" t="str">
            <v>HEFD</v>
          </cell>
          <cell r="BW28">
            <v>1</v>
          </cell>
          <cell r="BX28" t="str">
            <v>HED</v>
          </cell>
          <cell r="BY28">
            <v>1</v>
          </cell>
          <cell r="BZ28" t="str">
            <v>HED</v>
          </cell>
          <cell r="CA28">
            <v>1</v>
          </cell>
          <cell r="CB28" t="str">
            <v>HED</v>
          </cell>
          <cell r="CE28">
            <v>5</v>
          </cell>
          <cell r="CF28" t="str">
            <v>HED</v>
          </cell>
          <cell r="CI28">
            <v>1</v>
          </cell>
          <cell r="CJ28" t="str">
            <v>HED</v>
          </cell>
          <cell r="CK28">
            <v>1</v>
          </cell>
          <cell r="CL28" t="str">
            <v>HED</v>
          </cell>
          <cell r="CM28">
            <v>1</v>
          </cell>
          <cell r="CN28" t="str">
            <v>HED</v>
          </cell>
          <cell r="CO28">
            <v>1</v>
          </cell>
          <cell r="CP28" t="str">
            <v>HED</v>
          </cell>
          <cell r="CQ28">
            <v>1</v>
          </cell>
          <cell r="CR28" t="str">
            <v>HED</v>
          </cell>
          <cell r="CS28">
            <v>2</v>
          </cell>
          <cell r="CT28" t="str">
            <v>HED</v>
          </cell>
        </row>
        <row r="29">
          <cell r="A29">
            <v>15</v>
          </cell>
          <cell r="B29">
            <v>41711098</v>
          </cell>
          <cell r="C29" t="str">
            <v>ARIZA URREGO JULIA DEL CARMEN</v>
          </cell>
          <cell r="D29" t="str">
            <v>BOGOTA</v>
          </cell>
          <cell r="E29">
            <v>2006</v>
          </cell>
          <cell r="F29">
            <v>3</v>
          </cell>
          <cell r="G29" t="str">
            <v>PRESUPUESTOS</v>
          </cell>
          <cell r="I29">
            <v>817000</v>
          </cell>
        </row>
        <row r="30">
          <cell r="A30">
            <v>16</v>
          </cell>
          <cell r="B30">
            <v>19072845</v>
          </cell>
          <cell r="C30" t="str">
            <v>AROCA JUAN DE LA CRUZ</v>
          </cell>
          <cell r="D30" t="str">
            <v>BOGOTA</v>
          </cell>
          <cell r="E30">
            <v>2004</v>
          </cell>
          <cell r="F30">
            <v>5</v>
          </cell>
          <cell r="G30" t="str">
            <v>UNIANDES</v>
          </cell>
          <cell r="H30" t="str">
            <v>JUNIO-JULIO</v>
          </cell>
          <cell r="I30">
            <v>500000</v>
          </cell>
          <cell r="AE30">
            <v>9</v>
          </cell>
          <cell r="AF30" t="str">
            <v>HEFD</v>
          </cell>
          <cell r="AG30">
            <v>1</v>
          </cell>
          <cell r="AH30" t="str">
            <v>HED</v>
          </cell>
          <cell r="AU30">
            <v>1</v>
          </cell>
          <cell r="AV30" t="str">
            <v>HED</v>
          </cell>
          <cell r="AW30">
            <v>1</v>
          </cell>
          <cell r="AX30" t="str">
            <v>HED</v>
          </cell>
          <cell r="AY30">
            <v>1</v>
          </cell>
          <cell r="AZ30" t="str">
            <v>HED</v>
          </cell>
          <cell r="BA30">
            <v>1</v>
          </cell>
          <cell r="BB30" t="str">
            <v>HED</v>
          </cell>
          <cell r="BC30">
            <v>6</v>
          </cell>
          <cell r="BD30" t="str">
            <v>HED</v>
          </cell>
          <cell r="BE30">
            <v>6</v>
          </cell>
          <cell r="BF30" t="str">
            <v>HED</v>
          </cell>
          <cell r="BK30">
            <v>1</v>
          </cell>
          <cell r="BL30" t="str">
            <v>HED</v>
          </cell>
          <cell r="BM30">
            <v>1</v>
          </cell>
          <cell r="BN30" t="str">
            <v>HED</v>
          </cell>
          <cell r="BO30">
            <v>1</v>
          </cell>
          <cell r="BP30" t="str">
            <v>HED</v>
          </cell>
          <cell r="BQ30">
            <v>5</v>
          </cell>
          <cell r="BR30" t="str">
            <v>HED</v>
          </cell>
          <cell r="BY30">
            <v>1</v>
          </cell>
          <cell r="BZ30" t="str">
            <v>HED</v>
          </cell>
          <cell r="CC30">
            <v>1</v>
          </cell>
          <cell r="CD30" t="str">
            <v>HED</v>
          </cell>
          <cell r="CE30">
            <v>6</v>
          </cell>
          <cell r="CF30" t="str">
            <v>HED</v>
          </cell>
          <cell r="CI30">
            <v>1</v>
          </cell>
          <cell r="CJ30" t="str">
            <v>HED</v>
          </cell>
          <cell r="CM30">
            <v>1</v>
          </cell>
          <cell r="CN30" t="str">
            <v>HED</v>
          </cell>
          <cell r="CO30">
            <v>1</v>
          </cell>
          <cell r="CP30" t="str">
            <v>HED</v>
          </cell>
          <cell r="CQ30">
            <v>1</v>
          </cell>
          <cell r="CR30" t="str">
            <v>HED</v>
          </cell>
          <cell r="CS30">
            <v>6</v>
          </cell>
          <cell r="CT30" t="str">
            <v>HED</v>
          </cell>
        </row>
        <row r="31">
          <cell r="A31">
            <v>17</v>
          </cell>
          <cell r="B31">
            <v>41729658</v>
          </cell>
          <cell r="C31" t="str">
            <v>ASCENCIO OYOLA BLANCA FLOR</v>
          </cell>
          <cell r="D31" t="str">
            <v>BOGOTA</v>
          </cell>
          <cell r="E31">
            <v>2002</v>
          </cell>
          <cell r="F31">
            <v>1</v>
          </cell>
          <cell r="G31" t="str">
            <v>ADMINISTRATIVO</v>
          </cell>
          <cell r="I31">
            <v>433700</v>
          </cell>
        </row>
        <row r="32">
          <cell r="A32">
            <v>18</v>
          </cell>
          <cell r="B32">
            <v>17651868</v>
          </cell>
          <cell r="C32" t="str">
            <v>AVIRAMA HERMOSA NELSON</v>
          </cell>
          <cell r="D32" t="str">
            <v>BOGOTA</v>
          </cell>
          <cell r="E32">
            <v>2100</v>
          </cell>
          <cell r="F32">
            <v>79</v>
          </cell>
          <cell r="G32" t="str">
            <v>UNIANDES</v>
          </cell>
          <cell r="I32">
            <v>900000</v>
          </cell>
        </row>
        <row r="33">
          <cell r="A33">
            <v>19</v>
          </cell>
          <cell r="B33">
            <v>30279369</v>
          </cell>
          <cell r="C33" t="str">
            <v>BARRERA DE FLOREZ GLORIA ESPANA</v>
          </cell>
          <cell r="D33" t="str">
            <v>BARRANQUILLA</v>
          </cell>
          <cell r="E33">
            <v>2002</v>
          </cell>
          <cell r="F33">
            <v>3</v>
          </cell>
          <cell r="I33">
            <v>433700</v>
          </cell>
        </row>
        <row r="34">
          <cell r="A34">
            <v>20</v>
          </cell>
          <cell r="B34">
            <v>1015998910</v>
          </cell>
          <cell r="C34" t="str">
            <v>BARRETO PINZON JHON JAIRO</v>
          </cell>
          <cell r="D34" t="str">
            <v>BOGOTA</v>
          </cell>
          <cell r="E34">
            <v>2004</v>
          </cell>
          <cell r="F34">
            <v>5</v>
          </cell>
          <cell r="G34" t="str">
            <v>PLANTA</v>
          </cell>
          <cell r="H34" t="str">
            <v>JUNIO-JULIO</v>
          </cell>
          <cell r="I34">
            <v>433700</v>
          </cell>
          <cell r="AE34">
            <v>9</v>
          </cell>
          <cell r="AF34" t="str">
            <v>HEFD</v>
          </cell>
          <cell r="AG34">
            <v>1</v>
          </cell>
          <cell r="AH34" t="str">
            <v>HED</v>
          </cell>
          <cell r="AI34">
            <v>1</v>
          </cell>
          <cell r="AJ34" t="str">
            <v>HED</v>
          </cell>
          <cell r="AK34">
            <v>1</v>
          </cell>
          <cell r="AL34" t="str">
            <v>HED</v>
          </cell>
          <cell r="AO34">
            <v>1</v>
          </cell>
          <cell r="AP34" t="str">
            <v>HED</v>
          </cell>
          <cell r="AU34">
            <v>1</v>
          </cell>
          <cell r="AV34" t="str">
            <v>HED</v>
          </cell>
          <cell r="BK34">
            <v>1</v>
          </cell>
          <cell r="BL34" t="str">
            <v>HED</v>
          </cell>
          <cell r="CK34">
            <v>2</v>
          </cell>
          <cell r="CL34" t="str">
            <v>HED</v>
          </cell>
        </row>
        <row r="35">
          <cell r="A35">
            <v>21</v>
          </cell>
          <cell r="B35">
            <v>84034679</v>
          </cell>
          <cell r="C35" t="str">
            <v>BARROS MEJIA EDILBETH RAFAEL</v>
          </cell>
          <cell r="D35" t="str">
            <v>CERREJON</v>
          </cell>
          <cell r="E35">
            <v>1041</v>
          </cell>
          <cell r="F35">
            <v>4</v>
          </cell>
          <cell r="G35" t="str">
            <v>MINA</v>
          </cell>
          <cell r="I35">
            <v>700000</v>
          </cell>
        </row>
        <row r="36">
          <cell r="A36">
            <v>22</v>
          </cell>
          <cell r="B36">
            <v>79484043</v>
          </cell>
          <cell r="C36" t="str">
            <v>BELTRAN GOMEZ ORLANDO</v>
          </cell>
          <cell r="D36" t="str">
            <v>BOGOTA</v>
          </cell>
          <cell r="E36">
            <v>2100</v>
          </cell>
          <cell r="F36">
            <v>79</v>
          </cell>
          <cell r="G36" t="str">
            <v>UNIANDES</v>
          </cell>
          <cell r="H36" t="str">
            <v>JUNIO-JULIO</v>
          </cell>
          <cell r="I36">
            <v>433700</v>
          </cell>
          <cell r="AU36">
            <v>1</v>
          </cell>
          <cell r="AV36" t="str">
            <v>HED</v>
          </cell>
          <cell r="AW36">
            <v>1</v>
          </cell>
          <cell r="AX36" t="str">
            <v>HED</v>
          </cell>
          <cell r="BA36">
            <v>3</v>
          </cell>
          <cell r="BB36" t="str">
            <v>HED</v>
          </cell>
          <cell r="BC36">
            <v>6</v>
          </cell>
          <cell r="BD36" t="str">
            <v>HED</v>
          </cell>
          <cell r="BQ36">
            <v>5</v>
          </cell>
          <cell r="BR36" t="str">
            <v>HED</v>
          </cell>
          <cell r="BY36">
            <v>1</v>
          </cell>
          <cell r="BZ36" t="str">
            <v>HED</v>
          </cell>
          <cell r="CI36">
            <v>1</v>
          </cell>
          <cell r="CJ36" t="str">
            <v>HED</v>
          </cell>
          <cell r="CK36">
            <v>1</v>
          </cell>
          <cell r="CL36" t="str">
            <v>HED</v>
          </cell>
          <cell r="CM36">
            <v>1</v>
          </cell>
          <cell r="CN36" t="str">
            <v>HED</v>
          </cell>
          <cell r="CO36">
            <v>1</v>
          </cell>
          <cell r="CP36" t="str">
            <v>HED</v>
          </cell>
          <cell r="CS36">
            <v>6</v>
          </cell>
          <cell r="CT36" t="str">
            <v>HED</v>
          </cell>
        </row>
        <row r="37">
          <cell r="A37">
            <v>23</v>
          </cell>
          <cell r="B37">
            <v>9043681</v>
          </cell>
          <cell r="C37" t="str">
            <v>BLANCO ALVAREZ FENER ANTONIO</v>
          </cell>
          <cell r="D37" t="str">
            <v>BOGOTA</v>
          </cell>
          <cell r="E37">
            <v>2100</v>
          </cell>
          <cell r="F37">
            <v>79</v>
          </cell>
          <cell r="G37" t="str">
            <v>UNIANDES</v>
          </cell>
          <cell r="H37" t="str">
            <v>JUNIO-JULIO</v>
          </cell>
          <cell r="I37">
            <v>520000</v>
          </cell>
          <cell r="AU37">
            <v>1</v>
          </cell>
          <cell r="AV37" t="str">
            <v>HED</v>
          </cell>
          <cell r="AW37">
            <v>1</v>
          </cell>
          <cell r="AX37" t="str">
            <v>HED</v>
          </cell>
          <cell r="AY37">
            <v>1</v>
          </cell>
          <cell r="AZ37" t="str">
            <v>HED</v>
          </cell>
          <cell r="BC37">
            <v>6</v>
          </cell>
          <cell r="BD37" t="str">
            <v>HED</v>
          </cell>
          <cell r="BE37">
            <v>6</v>
          </cell>
          <cell r="BF37" t="str">
            <v>HED</v>
          </cell>
          <cell r="BQ37">
            <v>5</v>
          </cell>
          <cell r="BR37" t="str">
            <v>HED</v>
          </cell>
          <cell r="BY37">
            <v>1</v>
          </cell>
          <cell r="BZ37" t="str">
            <v>HED</v>
          </cell>
          <cell r="CI37">
            <v>1</v>
          </cell>
          <cell r="CJ37" t="str">
            <v>HED</v>
          </cell>
          <cell r="CK37">
            <v>4</v>
          </cell>
          <cell r="CL37" t="str">
            <v>HED</v>
          </cell>
          <cell r="CM37">
            <v>3</v>
          </cell>
          <cell r="CN37" t="str">
            <v>HED</v>
          </cell>
          <cell r="CO37">
            <v>4</v>
          </cell>
          <cell r="CP37" t="str">
            <v>HED</v>
          </cell>
          <cell r="CQ37">
            <v>1</v>
          </cell>
          <cell r="CR37" t="str">
            <v>HED</v>
          </cell>
          <cell r="CS37">
            <v>6</v>
          </cell>
          <cell r="CT37" t="str">
            <v>HED</v>
          </cell>
        </row>
        <row r="38">
          <cell r="A38">
            <v>24</v>
          </cell>
          <cell r="B38">
            <v>92630139</v>
          </cell>
          <cell r="C38" t="str">
            <v>BLANCO ALVAREZ MANUEL</v>
          </cell>
          <cell r="D38" t="str">
            <v>BOGOTA</v>
          </cell>
          <cell r="E38">
            <v>2004</v>
          </cell>
          <cell r="F38">
            <v>5</v>
          </cell>
          <cell r="G38" t="str">
            <v>PLANTA</v>
          </cell>
          <cell r="H38" t="str">
            <v>JUNIO-JULIO</v>
          </cell>
          <cell r="I38">
            <v>450000</v>
          </cell>
          <cell r="AE38">
            <v>9</v>
          </cell>
          <cell r="AF38" t="str">
            <v>HEFD</v>
          </cell>
          <cell r="AG38">
            <v>1</v>
          </cell>
          <cell r="AH38" t="str">
            <v>HED</v>
          </cell>
          <cell r="AI38">
            <v>1</v>
          </cell>
          <cell r="AJ38" t="str">
            <v>HED</v>
          </cell>
          <cell r="AK38">
            <v>1</v>
          </cell>
          <cell r="AL38" t="str">
            <v>HED</v>
          </cell>
          <cell r="AO38">
            <v>1</v>
          </cell>
          <cell r="AP38" t="str">
            <v>HED</v>
          </cell>
          <cell r="AU38">
            <v>1</v>
          </cell>
          <cell r="AV38" t="str">
            <v>HED</v>
          </cell>
          <cell r="BK38">
            <v>1</v>
          </cell>
          <cell r="BL38" t="str">
            <v>HED</v>
          </cell>
          <cell r="CK38">
            <v>2</v>
          </cell>
          <cell r="CL38" t="str">
            <v>HED</v>
          </cell>
          <cell r="CQ38">
            <v>1</v>
          </cell>
          <cell r="CR38" t="str">
            <v>HED</v>
          </cell>
        </row>
        <row r="39">
          <cell r="A39">
            <v>25</v>
          </cell>
          <cell r="B39">
            <v>72308236</v>
          </cell>
          <cell r="C39" t="str">
            <v>BOLANO GOMEZ EDGARDO RAFAEL</v>
          </cell>
          <cell r="D39" t="str">
            <v>BOGOTA</v>
          </cell>
          <cell r="E39">
            <v>2005</v>
          </cell>
          <cell r="F39">
            <v>2</v>
          </cell>
          <cell r="G39" t="str">
            <v>SERVICIOS OPERATIVO</v>
          </cell>
          <cell r="H39" t="str">
            <v>JUNIO-JULIO</v>
          </cell>
          <cell r="I39">
            <v>433700</v>
          </cell>
          <cell r="BA39">
            <v>2</v>
          </cell>
          <cell r="BB39" t="str">
            <v>HED</v>
          </cell>
          <cell r="BG39">
            <v>4</v>
          </cell>
          <cell r="BH39" t="str">
            <v>HEN</v>
          </cell>
          <cell r="BI39">
            <v>5</v>
          </cell>
          <cell r="BJ39" t="str">
            <v>HED</v>
          </cell>
          <cell r="BK39">
            <v>5</v>
          </cell>
          <cell r="BL39" t="str">
            <v>HED</v>
          </cell>
          <cell r="BM39">
            <v>5</v>
          </cell>
          <cell r="BN39" t="str">
            <v>HED</v>
          </cell>
          <cell r="BO39">
            <v>5</v>
          </cell>
          <cell r="BP39" t="str">
            <v>HED</v>
          </cell>
          <cell r="CA39">
            <v>2</v>
          </cell>
          <cell r="CB39" t="str">
            <v>HED</v>
          </cell>
          <cell r="CC39">
            <v>2</v>
          </cell>
          <cell r="CD39" t="str">
            <v>HED</v>
          </cell>
          <cell r="CI39">
            <v>1</v>
          </cell>
          <cell r="CJ39" t="str">
            <v>HED</v>
          </cell>
        </row>
        <row r="40">
          <cell r="A40">
            <v>26</v>
          </cell>
          <cell r="B40">
            <v>8785481</v>
          </cell>
          <cell r="C40" t="str">
            <v>CABANA JIMENEZ HAROLD ANTONIO</v>
          </cell>
          <cell r="D40" t="str">
            <v>BARRANQUILLA</v>
          </cell>
          <cell r="E40">
            <v>2007</v>
          </cell>
          <cell r="F40">
            <v>2</v>
          </cell>
          <cell r="I40">
            <v>550000</v>
          </cell>
        </row>
        <row r="41">
          <cell r="A41">
            <v>27</v>
          </cell>
          <cell r="B41">
            <v>72251055</v>
          </cell>
          <cell r="C41" t="str">
            <v>CALDERON JAIMES PABLO JOSE</v>
          </cell>
          <cell r="D41" t="str">
            <v>BARRANQUILLA</v>
          </cell>
          <cell r="E41">
            <v>1071</v>
          </cell>
          <cell r="F41">
            <v>47</v>
          </cell>
          <cell r="I41">
            <v>500000</v>
          </cell>
        </row>
        <row r="42">
          <cell r="A42">
            <v>28</v>
          </cell>
          <cell r="B42">
            <v>78301043</v>
          </cell>
          <cell r="C42" t="str">
            <v>CALDERON TOSCANO DAYR ALEJANDRO</v>
          </cell>
          <cell r="D42" t="str">
            <v>MEDELLIN</v>
          </cell>
          <cell r="E42">
            <v>2100</v>
          </cell>
          <cell r="F42">
            <v>114</v>
          </cell>
          <cell r="G42" t="str">
            <v>PANAMERICANA</v>
          </cell>
          <cell r="H42" t="str">
            <v>JUNIO-JULIO</v>
          </cell>
          <cell r="I42">
            <v>700000</v>
          </cell>
          <cell r="BU42">
            <v>10</v>
          </cell>
          <cell r="BV42" t="str">
            <v>HEFD</v>
          </cell>
          <cell r="BW42">
            <v>1</v>
          </cell>
          <cell r="BX42" t="str">
            <v>HED</v>
          </cell>
          <cell r="CE42">
            <v>4</v>
          </cell>
          <cell r="CF42" t="str">
            <v>HED</v>
          </cell>
        </row>
        <row r="43">
          <cell r="A43">
            <v>29</v>
          </cell>
          <cell r="B43">
            <v>7443676</v>
          </cell>
          <cell r="C43" t="str">
            <v>CAMACHO DUQUE JAIRO ENRIQUE</v>
          </cell>
          <cell r="D43" t="str">
            <v>CERREJON</v>
          </cell>
          <cell r="E43">
            <v>1041</v>
          </cell>
          <cell r="F43">
            <v>4</v>
          </cell>
          <cell r="G43" t="str">
            <v>MINA</v>
          </cell>
          <cell r="I43">
            <v>740000</v>
          </cell>
        </row>
        <row r="44">
          <cell r="A44">
            <v>30</v>
          </cell>
          <cell r="B44">
            <v>17956783</v>
          </cell>
          <cell r="C44" t="str">
            <v>CAMARGO BRITO DARWIN RONNELIS</v>
          </cell>
          <cell r="D44" t="str">
            <v>CERREJON</v>
          </cell>
          <cell r="E44">
            <v>1041</v>
          </cell>
          <cell r="F44">
            <v>4</v>
          </cell>
          <cell r="G44" t="str">
            <v>MINA</v>
          </cell>
          <cell r="I44">
            <v>650000</v>
          </cell>
        </row>
        <row r="45">
          <cell r="A45">
            <v>31</v>
          </cell>
          <cell r="B45">
            <v>1017127086</v>
          </cell>
          <cell r="C45" t="str">
            <v>CARDONA RESTREPO JUAN MANUEL</v>
          </cell>
          <cell r="D45" t="str">
            <v>MEDELLIN</v>
          </cell>
          <cell r="E45">
            <v>2100</v>
          </cell>
          <cell r="F45">
            <v>114</v>
          </cell>
          <cell r="G45" t="str">
            <v>PANAMERICANA</v>
          </cell>
          <cell r="H45" t="str">
            <v>JUNIO-JULIO</v>
          </cell>
          <cell r="I45">
            <v>433700</v>
          </cell>
          <cell r="AM45">
            <v>1</v>
          </cell>
          <cell r="AN45" t="str">
            <v>HED</v>
          </cell>
          <cell r="AO45">
            <v>1</v>
          </cell>
          <cell r="AP45" t="str">
            <v>HED</v>
          </cell>
          <cell r="BU45">
            <v>10</v>
          </cell>
          <cell r="BV45" t="str">
            <v>HEFD</v>
          </cell>
          <cell r="BW45">
            <v>1</v>
          </cell>
          <cell r="BX45" t="str">
            <v>HED</v>
          </cell>
          <cell r="CE45">
            <v>4</v>
          </cell>
          <cell r="CF45" t="str">
            <v>HED</v>
          </cell>
        </row>
        <row r="46">
          <cell r="A46">
            <v>32</v>
          </cell>
          <cell r="B46">
            <v>79542617</v>
          </cell>
          <cell r="C46" t="str">
            <v>CARRENO TRIANA HILDEBRANDO</v>
          </cell>
          <cell r="D46" t="str">
            <v>BOGOTA</v>
          </cell>
          <cell r="E46">
            <v>2004</v>
          </cell>
          <cell r="F46">
            <v>2</v>
          </cell>
          <cell r="G46" t="str">
            <v>OBRAS OPERATIVO</v>
          </cell>
          <cell r="I46">
            <v>1600000</v>
          </cell>
        </row>
        <row r="47">
          <cell r="A47">
            <v>33</v>
          </cell>
          <cell r="B47">
            <v>79650166</v>
          </cell>
          <cell r="C47" t="str">
            <v>CARRENO TRIANA OSCAR ALBERTO</v>
          </cell>
          <cell r="D47" t="str">
            <v>BOGOTA</v>
          </cell>
          <cell r="E47">
            <v>2005</v>
          </cell>
          <cell r="F47">
            <v>2</v>
          </cell>
          <cell r="G47" t="str">
            <v>SERVICIOS OPERATIVO</v>
          </cell>
          <cell r="H47" t="str">
            <v>JUNIO-JULIO</v>
          </cell>
          <cell r="I47">
            <v>750000</v>
          </cell>
          <cell r="BI47">
            <v>5</v>
          </cell>
          <cell r="BJ47" t="str">
            <v>HED</v>
          </cell>
          <cell r="BK47">
            <v>5</v>
          </cell>
          <cell r="BL47" t="str">
            <v>HED</v>
          </cell>
          <cell r="BM47">
            <v>5</v>
          </cell>
          <cell r="BN47" t="str">
            <v>HED</v>
          </cell>
        </row>
        <row r="48">
          <cell r="A48">
            <v>34</v>
          </cell>
          <cell r="B48">
            <v>93369102</v>
          </cell>
          <cell r="C48" t="str">
            <v>CARRILLO DAZA WILLIAM ENRIQUE</v>
          </cell>
          <cell r="D48" t="str">
            <v>BOGOTA</v>
          </cell>
          <cell r="E48">
            <v>2005</v>
          </cell>
          <cell r="F48">
            <v>2</v>
          </cell>
          <cell r="G48" t="str">
            <v>SERVICIOS OPERATIVO</v>
          </cell>
          <cell r="H48" t="str">
            <v>JUNIO-JULIO</v>
          </cell>
          <cell r="I48">
            <v>1045000</v>
          </cell>
        </row>
        <row r="49">
          <cell r="A49">
            <v>35</v>
          </cell>
          <cell r="B49">
            <v>1129568902</v>
          </cell>
          <cell r="C49" t="str">
            <v>CASCAVITA SIERRA JENNY ADRIANA</v>
          </cell>
          <cell r="D49" t="str">
            <v>BARRANQUILLA</v>
          </cell>
          <cell r="E49">
            <v>2005</v>
          </cell>
          <cell r="F49">
            <v>3</v>
          </cell>
          <cell r="I49">
            <v>433700</v>
          </cell>
        </row>
        <row r="50">
          <cell r="A50">
            <v>36</v>
          </cell>
          <cell r="B50">
            <v>11185767</v>
          </cell>
          <cell r="C50" t="str">
            <v>CASTANEDA MURILLO ORLANDO NELSON</v>
          </cell>
          <cell r="D50" t="str">
            <v>BOGOTA</v>
          </cell>
          <cell r="E50">
            <v>2005</v>
          </cell>
          <cell r="F50">
            <v>1</v>
          </cell>
          <cell r="G50" t="str">
            <v>SERVICIOS ADMINISTRATIVO</v>
          </cell>
          <cell r="I50">
            <v>700000</v>
          </cell>
        </row>
        <row r="51">
          <cell r="A51">
            <v>37</v>
          </cell>
          <cell r="B51">
            <v>55300998</v>
          </cell>
          <cell r="C51" t="str">
            <v>CASTILLA DE CUBA KELLY JOHANNA</v>
          </cell>
          <cell r="D51" t="str">
            <v>BARRANQUILLA</v>
          </cell>
          <cell r="E51">
            <v>2009</v>
          </cell>
          <cell r="F51">
            <v>2</v>
          </cell>
          <cell r="I51">
            <v>1000000</v>
          </cell>
        </row>
        <row r="52">
          <cell r="A52">
            <v>38</v>
          </cell>
          <cell r="B52">
            <v>79511757</v>
          </cell>
          <cell r="C52" t="str">
            <v>CASTILLO RAMOS VICTOR JULIO</v>
          </cell>
          <cell r="D52" t="str">
            <v>BOGOTA</v>
          </cell>
          <cell r="E52">
            <v>2100</v>
          </cell>
          <cell r="F52">
            <v>11</v>
          </cell>
          <cell r="G52" t="str">
            <v>SANITAS</v>
          </cell>
          <cell r="H52" t="str">
            <v>JUNIO-JULIO</v>
          </cell>
          <cell r="I52">
            <v>470000</v>
          </cell>
          <cell r="AU52">
            <v>1</v>
          </cell>
          <cell r="AV52" t="str">
            <v>HED</v>
          </cell>
          <cell r="AW52">
            <v>1</v>
          </cell>
          <cell r="AX52" t="str">
            <v>HED</v>
          </cell>
          <cell r="BC52">
            <v>6</v>
          </cell>
          <cell r="BD52" t="str">
            <v>HED</v>
          </cell>
          <cell r="BE52">
            <v>6</v>
          </cell>
          <cell r="BF52" t="str">
            <v>HEFD</v>
          </cell>
          <cell r="BG52">
            <v>1</v>
          </cell>
          <cell r="BH52" t="str">
            <v>HED</v>
          </cell>
          <cell r="BI52">
            <v>1</v>
          </cell>
          <cell r="BJ52" t="str">
            <v>HED</v>
          </cell>
          <cell r="BQ52">
            <v>3</v>
          </cell>
          <cell r="BR52" t="str">
            <v>HED</v>
          </cell>
          <cell r="BS52">
            <v>6</v>
          </cell>
          <cell r="BT52" t="str">
            <v>HEFD</v>
          </cell>
          <cell r="CC52">
            <v>1</v>
          </cell>
          <cell r="CD52" t="str">
            <v>HED</v>
          </cell>
          <cell r="CE52">
            <v>7</v>
          </cell>
          <cell r="CF52" t="str">
            <v>HED</v>
          </cell>
          <cell r="CK52">
            <v>1</v>
          </cell>
          <cell r="CL52" t="str">
            <v>HED</v>
          </cell>
          <cell r="CM52">
            <v>1</v>
          </cell>
          <cell r="CN52" t="str">
            <v>HED</v>
          </cell>
          <cell r="CO52">
            <v>1</v>
          </cell>
          <cell r="CP52" t="str">
            <v>HED</v>
          </cell>
          <cell r="CQ52">
            <v>2</v>
          </cell>
          <cell r="CR52" t="str">
            <v>HED</v>
          </cell>
        </row>
        <row r="53">
          <cell r="A53">
            <v>39</v>
          </cell>
          <cell r="B53">
            <v>11200283</v>
          </cell>
          <cell r="C53" t="str">
            <v>CASTRO GRACIA DIEGO GONZALO</v>
          </cell>
          <cell r="D53" t="str">
            <v>BOGOTA</v>
          </cell>
          <cell r="E53">
            <v>2006</v>
          </cell>
          <cell r="F53">
            <v>2</v>
          </cell>
          <cell r="G53" t="str">
            <v>INGENIERIA OPERATIVO</v>
          </cell>
          <cell r="I53">
            <v>1500000</v>
          </cell>
        </row>
        <row r="54">
          <cell r="A54">
            <v>40</v>
          </cell>
          <cell r="B54">
            <v>9101355</v>
          </cell>
          <cell r="C54" t="str">
            <v>CASTRO HENRIQUEZ FIDEL DE JESUS</v>
          </cell>
          <cell r="D54" t="str">
            <v>BOGOTA</v>
          </cell>
          <cell r="E54">
            <v>2100</v>
          </cell>
          <cell r="F54">
            <v>79</v>
          </cell>
          <cell r="G54" t="str">
            <v>UNIANDES</v>
          </cell>
          <cell r="H54" t="str">
            <v>JUNIO-JULIO</v>
          </cell>
          <cell r="I54">
            <v>450000</v>
          </cell>
          <cell r="AU54">
            <v>1</v>
          </cell>
          <cell r="AV54" t="str">
            <v>HED</v>
          </cell>
          <cell r="AW54">
            <v>1</v>
          </cell>
          <cell r="AX54" t="str">
            <v>HED</v>
          </cell>
          <cell r="AY54">
            <v>1</v>
          </cell>
          <cell r="AZ54" t="str">
            <v>HED</v>
          </cell>
          <cell r="BC54">
            <v>6</v>
          </cell>
          <cell r="BD54" t="str">
            <v>HED</v>
          </cell>
          <cell r="BK54">
            <v>1</v>
          </cell>
          <cell r="BL54" t="str">
            <v>HED</v>
          </cell>
          <cell r="BM54">
            <v>1</v>
          </cell>
          <cell r="BN54" t="str">
            <v>HED</v>
          </cell>
          <cell r="BQ54">
            <v>5</v>
          </cell>
          <cell r="BR54" t="str">
            <v>HED</v>
          </cell>
          <cell r="CI54">
            <v>1</v>
          </cell>
          <cell r="CJ54" t="str">
            <v>HED</v>
          </cell>
          <cell r="CK54">
            <v>4</v>
          </cell>
          <cell r="CL54" t="str">
            <v>HED</v>
          </cell>
          <cell r="CM54">
            <v>3</v>
          </cell>
          <cell r="CN54" t="str">
            <v>HED</v>
          </cell>
          <cell r="CO54">
            <v>1</v>
          </cell>
          <cell r="CP54" t="str">
            <v>HED</v>
          </cell>
          <cell r="CQ54">
            <v>4</v>
          </cell>
          <cell r="CR54" t="str">
            <v>HED</v>
          </cell>
          <cell r="CS54">
            <v>6</v>
          </cell>
          <cell r="CT54" t="str">
            <v>HED</v>
          </cell>
        </row>
        <row r="55">
          <cell r="A55">
            <v>41</v>
          </cell>
          <cell r="B55">
            <v>8649276</v>
          </cell>
          <cell r="C55" t="str">
            <v>CASTRO SARMIENTO JAVIER ALONZO</v>
          </cell>
          <cell r="D55" t="str">
            <v>BARRANQUILLA</v>
          </cell>
          <cell r="E55">
            <v>2100</v>
          </cell>
          <cell r="F55">
            <v>112</v>
          </cell>
          <cell r="I55">
            <v>433700</v>
          </cell>
        </row>
        <row r="56">
          <cell r="A56">
            <v>42</v>
          </cell>
          <cell r="B56">
            <v>72126742</v>
          </cell>
          <cell r="C56" t="str">
            <v>CASTRO VASQUEZ HERNAN</v>
          </cell>
          <cell r="D56" t="str">
            <v>BOGOTA</v>
          </cell>
          <cell r="E56">
            <v>2005</v>
          </cell>
          <cell r="F56">
            <v>2</v>
          </cell>
          <cell r="G56" t="str">
            <v>SERVICIOS OPERATIVO</v>
          </cell>
          <cell r="H56" t="str">
            <v>JUNIO-JULIO</v>
          </cell>
          <cell r="I56">
            <v>433700</v>
          </cell>
          <cell r="BI56">
            <v>5</v>
          </cell>
          <cell r="BJ56" t="str">
            <v>HED</v>
          </cell>
          <cell r="BK56">
            <v>5</v>
          </cell>
          <cell r="BL56" t="str">
            <v>HED</v>
          </cell>
          <cell r="BM56">
            <v>5</v>
          </cell>
          <cell r="BN56" t="str">
            <v>HED</v>
          </cell>
          <cell r="CE56">
            <v>1</v>
          </cell>
          <cell r="CF56" t="str">
            <v>HED</v>
          </cell>
          <cell r="CQ56">
            <v>1</v>
          </cell>
          <cell r="CR56" t="str">
            <v>HED</v>
          </cell>
        </row>
        <row r="57">
          <cell r="A57">
            <v>43</v>
          </cell>
          <cell r="B57">
            <v>56055755</v>
          </cell>
          <cell r="C57" t="str">
            <v>CHIRINO TONCEL ANNE KATRIN</v>
          </cell>
          <cell r="D57" t="str">
            <v>CERREJON</v>
          </cell>
          <cell r="E57">
            <v>1041</v>
          </cell>
          <cell r="F57">
            <v>3</v>
          </cell>
          <cell r="G57" t="str">
            <v>MINA</v>
          </cell>
          <cell r="I57">
            <v>1000000</v>
          </cell>
        </row>
        <row r="58">
          <cell r="A58">
            <v>44</v>
          </cell>
          <cell r="B58">
            <v>41475552</v>
          </cell>
          <cell r="C58" t="str">
            <v xml:space="preserve">CLAVIJO VERGARA MARIA DEL CARMEN </v>
          </cell>
          <cell r="D58" t="str">
            <v>BOGOTA</v>
          </cell>
          <cell r="E58">
            <v>2001</v>
          </cell>
          <cell r="F58">
            <v>1</v>
          </cell>
          <cell r="G58" t="str">
            <v>ALTA DIRECCION</v>
          </cell>
          <cell r="I58">
            <v>2000000</v>
          </cell>
        </row>
        <row r="59">
          <cell r="A59">
            <v>45</v>
          </cell>
          <cell r="B59">
            <v>7361980</v>
          </cell>
          <cell r="C59" t="str">
            <v>COLMENARES ROA JOSE VICENTE</v>
          </cell>
          <cell r="D59" t="str">
            <v>CASANARE</v>
          </cell>
          <cell r="E59">
            <v>2041</v>
          </cell>
          <cell r="F59">
            <v>4</v>
          </cell>
          <cell r="G59" t="str">
            <v>CUPIAGUA</v>
          </cell>
          <cell r="I59">
            <v>861370</v>
          </cell>
        </row>
        <row r="60">
          <cell r="A60">
            <v>46</v>
          </cell>
          <cell r="B60">
            <v>18876145</v>
          </cell>
          <cell r="C60" t="str">
            <v>CONTRERAS OLIVERAS ALBERTO MARTIN</v>
          </cell>
          <cell r="D60" t="str">
            <v>BOGOTA</v>
          </cell>
          <cell r="E60">
            <v>2100</v>
          </cell>
          <cell r="F60">
            <v>11</v>
          </cell>
          <cell r="G60" t="str">
            <v>SANITAS</v>
          </cell>
          <cell r="H60" t="str">
            <v>JUNIO-JULIO</v>
          </cell>
          <cell r="I60">
            <v>450000</v>
          </cell>
          <cell r="AU60">
            <v>1</v>
          </cell>
          <cell r="AV60" t="str">
            <v>HED</v>
          </cell>
          <cell r="AW60">
            <v>1</v>
          </cell>
          <cell r="AX60" t="str">
            <v>HED</v>
          </cell>
          <cell r="BC60">
            <v>6</v>
          </cell>
          <cell r="BD60" t="str">
            <v>HED</v>
          </cell>
          <cell r="BE60">
            <v>6</v>
          </cell>
          <cell r="BF60" t="str">
            <v>HEFD</v>
          </cell>
          <cell r="BG60">
            <v>1</v>
          </cell>
          <cell r="BH60" t="str">
            <v>HED</v>
          </cell>
          <cell r="BI60">
            <v>1</v>
          </cell>
          <cell r="BJ60" t="str">
            <v>HED</v>
          </cell>
          <cell r="BQ60">
            <v>3</v>
          </cell>
          <cell r="BR60" t="str">
            <v>HED</v>
          </cell>
          <cell r="BS60">
            <v>6</v>
          </cell>
          <cell r="BT60" t="str">
            <v>HEFD</v>
          </cell>
          <cell r="CA60">
            <v>1</v>
          </cell>
          <cell r="CB60" t="str">
            <v>HED</v>
          </cell>
          <cell r="CC60">
            <v>1</v>
          </cell>
          <cell r="CD60" t="str">
            <v>HED</v>
          </cell>
          <cell r="CE60">
            <v>7</v>
          </cell>
          <cell r="CF60" t="str">
            <v>HED</v>
          </cell>
          <cell r="CK60">
            <v>1</v>
          </cell>
          <cell r="CL60" t="str">
            <v>HED</v>
          </cell>
          <cell r="CM60">
            <v>1</v>
          </cell>
          <cell r="CN60" t="str">
            <v>HED</v>
          </cell>
          <cell r="CO60">
            <v>1</v>
          </cell>
          <cell r="CP60" t="str">
            <v>HED</v>
          </cell>
          <cell r="CQ60">
            <v>2</v>
          </cell>
          <cell r="CR60" t="str">
            <v>HED</v>
          </cell>
        </row>
        <row r="61">
          <cell r="A61">
            <v>47</v>
          </cell>
          <cell r="B61">
            <v>80384512</v>
          </cell>
          <cell r="C61" t="str">
            <v>CONTRERAS RINCON PAULO</v>
          </cell>
          <cell r="D61" t="str">
            <v>CASANARE</v>
          </cell>
          <cell r="E61">
            <v>2041</v>
          </cell>
          <cell r="F61">
            <v>2</v>
          </cell>
          <cell r="G61" t="str">
            <v>CUSIANA</v>
          </cell>
          <cell r="I61">
            <v>861368</v>
          </cell>
        </row>
        <row r="62">
          <cell r="A62">
            <v>48</v>
          </cell>
          <cell r="B62">
            <v>98575542</v>
          </cell>
          <cell r="C62" t="str">
            <v>CORDOBA FORONDA MAURICIO DE JESUS</v>
          </cell>
          <cell r="D62" t="str">
            <v>MEDELLIN</v>
          </cell>
          <cell r="E62">
            <v>2100</v>
          </cell>
          <cell r="F62">
            <v>103</v>
          </cell>
          <cell r="G62" t="str">
            <v>CLINICA CRUZ BLANCA</v>
          </cell>
          <cell r="H62" t="str">
            <v>JUNIO-JULIO</v>
          </cell>
          <cell r="I62">
            <v>868000</v>
          </cell>
          <cell r="BC62">
            <v>3</v>
          </cell>
          <cell r="BD62" t="str">
            <v>HED</v>
          </cell>
          <cell r="BQ62">
            <v>5</v>
          </cell>
          <cell r="BR62" t="str">
            <v>HED</v>
          </cell>
        </row>
        <row r="63">
          <cell r="A63">
            <v>49</v>
          </cell>
          <cell r="B63">
            <v>78078735</v>
          </cell>
          <cell r="C63" t="str">
            <v>CORREA HERNANDEZ OSWALDO MANUEL</v>
          </cell>
          <cell r="D63" t="str">
            <v>BOGOTA</v>
          </cell>
          <cell r="E63">
            <v>2100</v>
          </cell>
          <cell r="F63">
            <v>79</v>
          </cell>
          <cell r="G63" t="str">
            <v>UNIANDES</v>
          </cell>
          <cell r="H63" t="str">
            <v>JUNIO-JULIO</v>
          </cell>
          <cell r="I63">
            <v>433700</v>
          </cell>
          <cell r="AW63">
            <v>1</v>
          </cell>
          <cell r="AX63" t="str">
            <v>HED</v>
          </cell>
          <cell r="AY63">
            <v>1</v>
          </cell>
          <cell r="AZ63" t="str">
            <v>HED</v>
          </cell>
          <cell r="BC63">
            <v>6</v>
          </cell>
          <cell r="BD63" t="str">
            <v>HED</v>
          </cell>
          <cell r="BM63">
            <v>3</v>
          </cell>
          <cell r="BN63" t="str">
            <v>HED</v>
          </cell>
          <cell r="BQ63">
            <v>5</v>
          </cell>
          <cell r="BR63" t="str">
            <v>HED</v>
          </cell>
          <cell r="BY63">
            <v>1</v>
          </cell>
          <cell r="BZ63" t="str">
            <v>HED</v>
          </cell>
          <cell r="CE63">
            <v>6</v>
          </cell>
          <cell r="CF63" t="str">
            <v>HED</v>
          </cell>
          <cell r="CI63">
            <v>1</v>
          </cell>
          <cell r="CJ63" t="str">
            <v>HED</v>
          </cell>
          <cell r="CK63">
            <v>2</v>
          </cell>
          <cell r="CL63" t="str">
            <v>HED</v>
          </cell>
          <cell r="CM63">
            <v>1</v>
          </cell>
          <cell r="CN63" t="str">
            <v>HED</v>
          </cell>
          <cell r="CO63">
            <v>4</v>
          </cell>
          <cell r="CP63" t="str">
            <v>HED</v>
          </cell>
          <cell r="CQ63">
            <v>1</v>
          </cell>
          <cell r="CR63" t="str">
            <v>HED</v>
          </cell>
          <cell r="CS63">
            <v>6</v>
          </cell>
          <cell r="CT63" t="str">
            <v>HED</v>
          </cell>
        </row>
        <row r="64">
          <cell r="A64">
            <v>50</v>
          </cell>
          <cell r="B64">
            <v>80843716</v>
          </cell>
          <cell r="C64" t="str">
            <v>CRUZ HERRERA DIEGO GENTIL</v>
          </cell>
          <cell r="D64" t="str">
            <v>BOGOTA</v>
          </cell>
          <cell r="E64">
            <v>2002</v>
          </cell>
          <cell r="F64">
            <v>1</v>
          </cell>
          <cell r="G64" t="str">
            <v>ADMINISTRATIVO</v>
          </cell>
          <cell r="I64">
            <v>216850</v>
          </cell>
        </row>
        <row r="65">
          <cell r="A65">
            <v>51</v>
          </cell>
          <cell r="B65">
            <v>98492115</v>
          </cell>
          <cell r="C65" t="str">
            <v xml:space="preserve">CUADROS HOLGUIN GUSTAVO </v>
          </cell>
          <cell r="D65" t="str">
            <v>MEDELLIN</v>
          </cell>
          <cell r="E65">
            <v>2100</v>
          </cell>
          <cell r="F65">
            <v>103</v>
          </cell>
          <cell r="G65" t="str">
            <v>CLINICA CRUZ BLANCA</v>
          </cell>
          <cell r="H65" t="str">
            <v>JUNIO-JULIO</v>
          </cell>
          <cell r="I65">
            <v>433700</v>
          </cell>
        </row>
        <row r="66">
          <cell r="A66">
            <v>52</v>
          </cell>
          <cell r="B66">
            <v>71655043</v>
          </cell>
          <cell r="C66" t="str">
            <v>DAVILA GARCES CARLOS ALFONSO</v>
          </cell>
          <cell r="D66" t="str">
            <v>MEDELLIN</v>
          </cell>
          <cell r="E66">
            <v>2100</v>
          </cell>
          <cell r="F66">
            <v>114</v>
          </cell>
          <cell r="G66" t="str">
            <v>PARQUE EXPLORA</v>
          </cell>
          <cell r="I66">
            <v>1140000</v>
          </cell>
        </row>
        <row r="67">
          <cell r="A67">
            <v>53</v>
          </cell>
          <cell r="B67">
            <v>72161479</v>
          </cell>
          <cell r="C67" t="str">
            <v>DE LA HOZ MARTINEZ RAFAEL ALFONSO</v>
          </cell>
          <cell r="D67" t="str">
            <v>CERREJON</v>
          </cell>
          <cell r="E67">
            <v>1041</v>
          </cell>
          <cell r="F67">
            <v>4</v>
          </cell>
          <cell r="G67" t="str">
            <v>MINA</v>
          </cell>
          <cell r="I67">
            <v>700000</v>
          </cell>
        </row>
        <row r="68">
          <cell r="A68">
            <v>54</v>
          </cell>
          <cell r="B68">
            <v>72432944</v>
          </cell>
          <cell r="C68" t="str">
            <v>DE LA HOZ TURIZO WALTER</v>
          </cell>
          <cell r="D68" t="str">
            <v>BOGOTA</v>
          </cell>
          <cell r="E68">
            <v>2100</v>
          </cell>
          <cell r="F68">
            <v>125</v>
          </cell>
          <cell r="G68" t="str">
            <v>ICA</v>
          </cell>
          <cell r="H68" t="str">
            <v>JUNIO-JULIO</v>
          </cell>
          <cell r="I68">
            <v>450000</v>
          </cell>
          <cell r="AS68">
            <v>5</v>
          </cell>
          <cell r="AT68" t="str">
            <v>HED</v>
          </cell>
          <cell r="BG68">
            <v>1</v>
          </cell>
          <cell r="BH68" t="str">
            <v>HED</v>
          </cell>
          <cell r="BQ68">
            <v>3</v>
          </cell>
          <cell r="BR68" t="str">
            <v>HED</v>
          </cell>
          <cell r="BU68">
            <v>7</v>
          </cell>
          <cell r="BV68" t="str">
            <v>HEFD</v>
          </cell>
          <cell r="BW68">
            <v>1</v>
          </cell>
          <cell r="BX68" t="str">
            <v>HED</v>
          </cell>
          <cell r="BY68">
            <v>1</v>
          </cell>
          <cell r="BZ68" t="str">
            <v>HED</v>
          </cell>
          <cell r="CA68">
            <v>1</v>
          </cell>
          <cell r="CB68" t="str">
            <v>HED</v>
          </cell>
          <cell r="CE68">
            <v>5</v>
          </cell>
          <cell r="CF68" t="str">
            <v>HED</v>
          </cell>
        </row>
        <row r="69">
          <cell r="A69">
            <v>55</v>
          </cell>
          <cell r="B69">
            <v>8779276</v>
          </cell>
          <cell r="C69" t="str">
            <v>DE MOYA CASTRO WILMER ENRIQUE</v>
          </cell>
          <cell r="D69" t="str">
            <v>CERREJON</v>
          </cell>
          <cell r="E69">
            <v>1041</v>
          </cell>
          <cell r="F69">
            <v>4</v>
          </cell>
          <cell r="G69" t="str">
            <v>MINA</v>
          </cell>
          <cell r="I69">
            <v>650000</v>
          </cell>
        </row>
        <row r="70">
          <cell r="A70">
            <v>56</v>
          </cell>
          <cell r="B70">
            <v>18877844</v>
          </cell>
          <cell r="C70" t="str">
            <v>DIAZ CARDENAS MANUEL FRANCISCO</v>
          </cell>
          <cell r="D70" t="str">
            <v>BOGOTA</v>
          </cell>
          <cell r="E70">
            <v>2100</v>
          </cell>
          <cell r="F70">
            <v>124</v>
          </cell>
          <cell r="G70" t="str">
            <v>HITOS TORRE</v>
          </cell>
          <cell r="H70" t="str">
            <v>JUNIO-JULIO</v>
          </cell>
          <cell r="I70">
            <v>450000</v>
          </cell>
          <cell r="CE70">
            <v>3</v>
          </cell>
          <cell r="CF70" t="str">
            <v>HED</v>
          </cell>
        </row>
        <row r="71">
          <cell r="A71">
            <v>57</v>
          </cell>
          <cell r="B71">
            <v>13493379</v>
          </cell>
          <cell r="C71" t="str">
            <v>DIAZ CARVAJAL RAMON JAVID</v>
          </cell>
          <cell r="D71" t="str">
            <v>CASANARE</v>
          </cell>
          <cell r="E71">
            <v>2041</v>
          </cell>
          <cell r="F71">
            <v>6</v>
          </cell>
          <cell r="G71" t="str">
            <v>BASE BP YOPAL</v>
          </cell>
          <cell r="I71">
            <v>1065656</v>
          </cell>
        </row>
        <row r="72">
          <cell r="A72">
            <v>58</v>
          </cell>
          <cell r="B72">
            <v>74183561</v>
          </cell>
          <cell r="C72" t="str">
            <v>DIAZ TORRES JHONSON</v>
          </cell>
          <cell r="D72" t="str">
            <v>CASANARE</v>
          </cell>
          <cell r="E72">
            <v>2041</v>
          </cell>
          <cell r="F72">
            <v>14</v>
          </cell>
          <cell r="G72" t="str">
            <v>BASES MILITARES</v>
          </cell>
          <cell r="I72">
            <v>1108282</v>
          </cell>
        </row>
        <row r="73">
          <cell r="A73">
            <v>59</v>
          </cell>
          <cell r="B73">
            <v>73165459</v>
          </cell>
          <cell r="C73" t="str">
            <v>DUENAS GALVIS LEWIS</v>
          </cell>
          <cell r="D73" t="str">
            <v>BOGOTA</v>
          </cell>
          <cell r="E73">
            <v>2100</v>
          </cell>
          <cell r="F73">
            <v>124</v>
          </cell>
          <cell r="G73" t="str">
            <v>HITOS TORRE</v>
          </cell>
          <cell r="H73" t="str">
            <v>JUNIO-JULIO</v>
          </cell>
          <cell r="I73">
            <v>433700</v>
          </cell>
          <cell r="CE73">
            <v>6</v>
          </cell>
          <cell r="CF73" t="str">
            <v>HED</v>
          </cell>
        </row>
        <row r="74">
          <cell r="A74">
            <v>60</v>
          </cell>
          <cell r="B74">
            <v>71372225</v>
          </cell>
          <cell r="C74" t="str">
            <v>DUQUE CADAVID JORGE ANDRES</v>
          </cell>
          <cell r="D74" t="str">
            <v>MEDELLIN</v>
          </cell>
          <cell r="E74">
            <v>2100</v>
          </cell>
          <cell r="F74">
            <v>114</v>
          </cell>
          <cell r="G74" t="str">
            <v>PARQUE EXPLORA</v>
          </cell>
          <cell r="H74" t="str">
            <v>JUNIO-JULIO</v>
          </cell>
          <cell r="I74">
            <v>433700</v>
          </cell>
          <cell r="AO74">
            <v>1</v>
          </cell>
          <cell r="AP74" t="str">
            <v>HED</v>
          </cell>
          <cell r="AQ74">
            <v>5</v>
          </cell>
          <cell r="AR74" t="str">
            <v>HEFD</v>
          </cell>
          <cell r="BS74">
            <v>8</v>
          </cell>
          <cell r="BT74" t="str">
            <v>HEFD</v>
          </cell>
          <cell r="CE74">
            <v>4</v>
          </cell>
          <cell r="CF74" t="str">
            <v>HED</v>
          </cell>
          <cell r="CS74">
            <v>4</v>
          </cell>
          <cell r="CT74" t="str">
            <v>HED</v>
          </cell>
          <cell r="CU74">
            <v>8</v>
          </cell>
          <cell r="CV74" t="str">
            <v>HEFD</v>
          </cell>
        </row>
        <row r="75">
          <cell r="A75">
            <v>61</v>
          </cell>
          <cell r="B75">
            <v>32880314</v>
          </cell>
          <cell r="C75" t="str">
            <v>DURAN BEJARANO SHIRLEY ESTHER</v>
          </cell>
          <cell r="D75" t="str">
            <v>BARRANQUILLA</v>
          </cell>
          <cell r="E75">
            <v>2002</v>
          </cell>
          <cell r="F75">
            <v>3</v>
          </cell>
          <cell r="I75">
            <v>500000</v>
          </cell>
        </row>
        <row r="76">
          <cell r="A76">
            <v>62</v>
          </cell>
          <cell r="B76">
            <v>19774485</v>
          </cell>
          <cell r="C76" t="str">
            <v>DURAN JURADO DUBIER</v>
          </cell>
          <cell r="D76" t="str">
            <v>CERREJON</v>
          </cell>
          <cell r="E76">
            <v>1041</v>
          </cell>
          <cell r="F76">
            <v>4</v>
          </cell>
          <cell r="G76" t="str">
            <v>MINA</v>
          </cell>
          <cell r="I76">
            <v>500000</v>
          </cell>
        </row>
        <row r="77">
          <cell r="A77">
            <v>63</v>
          </cell>
          <cell r="B77">
            <v>8767349</v>
          </cell>
          <cell r="C77" t="str">
            <v>DURAN JURADO EIMAN</v>
          </cell>
          <cell r="D77" t="str">
            <v>CERREJON</v>
          </cell>
          <cell r="E77">
            <v>1041</v>
          </cell>
          <cell r="F77">
            <v>3</v>
          </cell>
          <cell r="G77" t="str">
            <v>MINA</v>
          </cell>
          <cell r="I77">
            <v>1000000</v>
          </cell>
        </row>
        <row r="78">
          <cell r="A78">
            <v>64</v>
          </cell>
          <cell r="B78">
            <v>72194220</v>
          </cell>
          <cell r="C78" t="str">
            <v>ECHEVERRIA GALLO LUIS FERNANDO</v>
          </cell>
          <cell r="D78" t="str">
            <v>MEDELLIN</v>
          </cell>
          <cell r="E78">
            <v>2100</v>
          </cell>
          <cell r="F78">
            <v>114</v>
          </cell>
          <cell r="G78" t="str">
            <v>PANAMERICANA</v>
          </cell>
          <cell r="H78" t="str">
            <v>JUNIO-JULIO</v>
          </cell>
          <cell r="I78">
            <v>950000</v>
          </cell>
          <cell r="AK78">
            <v>4</v>
          </cell>
          <cell r="AL78" t="str">
            <v>HED</v>
          </cell>
          <cell r="AM78">
            <v>1</v>
          </cell>
          <cell r="AN78" t="str">
            <v>HED</v>
          </cell>
          <cell r="AO78">
            <v>4</v>
          </cell>
          <cell r="AP78" t="str">
            <v>HED</v>
          </cell>
          <cell r="BU78">
            <v>10</v>
          </cell>
          <cell r="BV78" t="str">
            <v>HEFD</v>
          </cell>
          <cell r="BW78">
            <v>1</v>
          </cell>
          <cell r="BX78" t="str">
            <v>HED</v>
          </cell>
          <cell r="CE78">
            <v>4</v>
          </cell>
          <cell r="CF78" t="str">
            <v>HED</v>
          </cell>
        </row>
        <row r="79">
          <cell r="A79">
            <v>65</v>
          </cell>
          <cell r="B79">
            <v>7455239</v>
          </cell>
          <cell r="C79" t="str">
            <v>ECHEVERRIA VARGAS LUIS HERNANDO</v>
          </cell>
          <cell r="D79" t="str">
            <v>MEDELLIN</v>
          </cell>
          <cell r="E79">
            <v>2100</v>
          </cell>
          <cell r="F79">
            <v>103</v>
          </cell>
          <cell r="G79" t="str">
            <v xml:space="preserve">CLINICA CRUZ BLANCA </v>
          </cell>
          <cell r="H79" t="str">
            <v>JUNIO-JULIO</v>
          </cell>
          <cell r="I79">
            <v>1500000</v>
          </cell>
        </row>
        <row r="80">
          <cell r="A80">
            <v>66</v>
          </cell>
          <cell r="B80">
            <v>52886672</v>
          </cell>
          <cell r="C80" t="str">
            <v>ENRIQUEZ ROCHA ADRIANA</v>
          </cell>
          <cell r="D80" t="str">
            <v>BOGOTA</v>
          </cell>
          <cell r="E80">
            <v>2004</v>
          </cell>
          <cell r="F80">
            <v>5</v>
          </cell>
          <cell r="G80" t="str">
            <v>PLANTA</v>
          </cell>
          <cell r="I80">
            <v>700000</v>
          </cell>
        </row>
        <row r="81">
          <cell r="A81">
            <v>67</v>
          </cell>
          <cell r="B81">
            <v>9291064</v>
          </cell>
          <cell r="C81" t="str">
            <v>ESALAS CASTELLON AMAURY DE JESUS</v>
          </cell>
          <cell r="D81" t="str">
            <v>BOGOTA</v>
          </cell>
          <cell r="E81">
            <v>2004</v>
          </cell>
          <cell r="F81">
            <v>5</v>
          </cell>
          <cell r="G81" t="str">
            <v>PLANTA</v>
          </cell>
          <cell r="H81" t="str">
            <v>JUNIO-JULIO</v>
          </cell>
          <cell r="I81">
            <v>450000</v>
          </cell>
          <cell r="AE81">
            <v>9</v>
          </cell>
          <cell r="AF81" t="str">
            <v>HEFD</v>
          </cell>
          <cell r="AG81">
            <v>1</v>
          </cell>
          <cell r="AH81" t="str">
            <v>HED</v>
          </cell>
          <cell r="AI81">
            <v>1</v>
          </cell>
          <cell r="AJ81" t="str">
            <v>HED</v>
          </cell>
          <cell r="AK81">
            <v>1</v>
          </cell>
          <cell r="AL81" t="str">
            <v>HED</v>
          </cell>
          <cell r="AO81">
            <v>1</v>
          </cell>
          <cell r="AP81" t="str">
            <v>HED</v>
          </cell>
          <cell r="AU81">
            <v>1</v>
          </cell>
          <cell r="AV81" t="str">
            <v>HED</v>
          </cell>
          <cell r="BK81">
            <v>1</v>
          </cell>
          <cell r="BL81" t="str">
            <v>HED</v>
          </cell>
          <cell r="CK81">
            <v>2</v>
          </cell>
          <cell r="CL81" t="str">
            <v>HED</v>
          </cell>
          <cell r="CQ81">
            <v>1</v>
          </cell>
          <cell r="CR81" t="str">
            <v>HED</v>
          </cell>
        </row>
        <row r="82">
          <cell r="A82">
            <v>68</v>
          </cell>
          <cell r="B82">
            <v>98671036</v>
          </cell>
          <cell r="C82" t="str">
            <v>ESCOBAR SIERRA JAIME ALBERTO</v>
          </cell>
          <cell r="D82" t="str">
            <v>BOGOTA</v>
          </cell>
          <cell r="E82">
            <v>2003</v>
          </cell>
          <cell r="F82">
            <v>3</v>
          </cell>
          <cell r="G82" t="str">
            <v>PROYECTO MEDELLIN</v>
          </cell>
          <cell r="I82">
            <v>1800000</v>
          </cell>
        </row>
        <row r="83">
          <cell r="A83">
            <v>69</v>
          </cell>
          <cell r="B83">
            <v>72231574</v>
          </cell>
          <cell r="C83" t="str">
            <v>ESPINOSA SANDOVAL RAFAEL DE JESUS</v>
          </cell>
          <cell r="D83" t="str">
            <v>BOGOTA</v>
          </cell>
          <cell r="E83">
            <v>2004</v>
          </cell>
          <cell r="F83">
            <v>5</v>
          </cell>
          <cell r="G83" t="str">
            <v>PLANTA</v>
          </cell>
          <cell r="H83" t="str">
            <v>JUNIO-JULIO</v>
          </cell>
          <cell r="I83">
            <v>520000</v>
          </cell>
          <cell r="AE83">
            <v>9</v>
          </cell>
          <cell r="AF83" t="str">
            <v>HEFD</v>
          </cell>
          <cell r="AG83">
            <v>1</v>
          </cell>
          <cell r="AH83" t="str">
            <v>HED</v>
          </cell>
          <cell r="AI83">
            <v>1</v>
          </cell>
          <cell r="AJ83" t="str">
            <v>HED</v>
          </cell>
          <cell r="AK83">
            <v>1</v>
          </cell>
          <cell r="AL83" t="str">
            <v>HED</v>
          </cell>
          <cell r="AO83">
            <v>1</v>
          </cell>
          <cell r="AP83" t="str">
            <v>HED</v>
          </cell>
          <cell r="AU83">
            <v>1</v>
          </cell>
          <cell r="AV83" t="str">
            <v>HED</v>
          </cell>
          <cell r="BK83">
            <v>1</v>
          </cell>
          <cell r="BL83" t="str">
            <v>HED</v>
          </cell>
          <cell r="CK83">
            <v>2</v>
          </cell>
          <cell r="CL83" t="str">
            <v>HED</v>
          </cell>
          <cell r="CQ83">
            <v>1</v>
          </cell>
          <cell r="CR83" t="str">
            <v>HED</v>
          </cell>
        </row>
        <row r="84">
          <cell r="A84">
            <v>70</v>
          </cell>
          <cell r="B84">
            <v>79668607</v>
          </cell>
          <cell r="C84" t="str">
            <v>FAJARDO VANEGAS WILSON</v>
          </cell>
          <cell r="D84" t="str">
            <v>BOGOTA</v>
          </cell>
          <cell r="E84">
            <v>2100</v>
          </cell>
          <cell r="F84">
            <v>125</v>
          </cell>
          <cell r="G84" t="str">
            <v>ICA</v>
          </cell>
          <cell r="H84" t="str">
            <v>JUNIO-JULIO</v>
          </cell>
          <cell r="I84">
            <v>433700</v>
          </cell>
          <cell r="BC84">
            <v>6</v>
          </cell>
          <cell r="BD84" t="str">
            <v>HED</v>
          </cell>
          <cell r="BE84">
            <v>7</v>
          </cell>
          <cell r="BF84" t="str">
            <v>HEFD</v>
          </cell>
          <cell r="BG84">
            <v>1</v>
          </cell>
          <cell r="BH84" t="str">
            <v>HED</v>
          </cell>
          <cell r="BI84">
            <v>1</v>
          </cell>
          <cell r="BJ84" t="str">
            <v>HED</v>
          </cell>
          <cell r="BK84">
            <v>1</v>
          </cell>
          <cell r="BL84" t="str">
            <v>HED</v>
          </cell>
          <cell r="BM84">
            <v>1</v>
          </cell>
          <cell r="BN84" t="str">
            <v>HED</v>
          </cell>
          <cell r="BQ84">
            <v>4</v>
          </cell>
          <cell r="BR84" t="str">
            <v>HED</v>
          </cell>
          <cell r="BU84">
            <v>7</v>
          </cell>
          <cell r="BV84" t="str">
            <v>HEFD</v>
          </cell>
          <cell r="BW84">
            <v>1</v>
          </cell>
          <cell r="BX84" t="str">
            <v>HED</v>
          </cell>
          <cell r="BY84">
            <v>1</v>
          </cell>
          <cell r="BZ84" t="str">
            <v>HED</v>
          </cell>
          <cell r="CA84">
            <v>1</v>
          </cell>
          <cell r="CB84" t="str">
            <v>HED</v>
          </cell>
          <cell r="CE84">
            <v>5</v>
          </cell>
          <cell r="CF84" t="str">
            <v>HED</v>
          </cell>
        </row>
        <row r="85">
          <cell r="A85">
            <v>71</v>
          </cell>
          <cell r="B85">
            <v>52530344</v>
          </cell>
          <cell r="C85" t="str">
            <v>FIGUEROA VIVAS JOHANNA MARCELA</v>
          </cell>
          <cell r="D85" t="str">
            <v>BOGOTA</v>
          </cell>
          <cell r="E85">
            <v>2009</v>
          </cell>
          <cell r="F85">
            <v>1</v>
          </cell>
          <cell r="G85" t="str">
            <v>CALIDAD</v>
          </cell>
          <cell r="I85">
            <v>1500000</v>
          </cell>
        </row>
        <row r="86">
          <cell r="A86">
            <v>72</v>
          </cell>
          <cell r="B86">
            <v>79671793</v>
          </cell>
          <cell r="C86" t="str">
            <v>FLOREZ BASTO MAURICIO ARTURO</v>
          </cell>
          <cell r="D86" t="str">
            <v>BOGOTA</v>
          </cell>
          <cell r="E86">
            <v>2006</v>
          </cell>
          <cell r="F86">
            <v>3</v>
          </cell>
          <cell r="G86" t="str">
            <v>PRESUPUESTOS</v>
          </cell>
          <cell r="I86">
            <v>2250000</v>
          </cell>
        </row>
        <row r="87">
          <cell r="A87">
            <v>73</v>
          </cell>
          <cell r="B87">
            <v>52122816</v>
          </cell>
          <cell r="C87" t="str">
            <v>FLORIAN RAMIREZ MARIA ELENA</v>
          </cell>
          <cell r="D87" t="str">
            <v>BOGOTA</v>
          </cell>
          <cell r="E87">
            <v>2002</v>
          </cell>
          <cell r="F87">
            <v>1</v>
          </cell>
          <cell r="G87" t="str">
            <v>ADMINISTRATIVO</v>
          </cell>
          <cell r="I87">
            <v>1500000</v>
          </cell>
        </row>
        <row r="88">
          <cell r="A88">
            <v>74</v>
          </cell>
          <cell r="B88">
            <v>72096079</v>
          </cell>
          <cell r="C88" t="str">
            <v>FONTALVO OTALORA ALFREDO ANTONIO</v>
          </cell>
          <cell r="D88" t="str">
            <v>BARRANQUILLA</v>
          </cell>
          <cell r="E88">
            <v>2005</v>
          </cell>
          <cell r="F88">
            <v>4</v>
          </cell>
          <cell r="I88">
            <v>560000</v>
          </cell>
        </row>
        <row r="89">
          <cell r="A89">
            <v>75</v>
          </cell>
          <cell r="B89">
            <v>74857539</v>
          </cell>
          <cell r="C89" t="str">
            <v>FONTECHA URBANO YONNY</v>
          </cell>
          <cell r="D89" t="str">
            <v>CASANARE</v>
          </cell>
          <cell r="E89">
            <v>2041</v>
          </cell>
          <cell r="F89">
            <v>2</v>
          </cell>
          <cell r="G89" t="str">
            <v>CUSIANA</v>
          </cell>
          <cell r="I89">
            <v>861370</v>
          </cell>
        </row>
        <row r="90">
          <cell r="A90">
            <v>76</v>
          </cell>
          <cell r="B90">
            <v>73198349</v>
          </cell>
          <cell r="C90" t="str">
            <v>GALAN HERRERA MAURY JOSE</v>
          </cell>
          <cell r="D90" t="str">
            <v>BOGOTA</v>
          </cell>
          <cell r="E90">
            <v>2100</v>
          </cell>
          <cell r="F90">
            <v>125</v>
          </cell>
          <cell r="G90" t="str">
            <v>ICA</v>
          </cell>
          <cell r="H90" t="str">
            <v>JUNIO-JULIO</v>
          </cell>
          <cell r="I90">
            <v>433700</v>
          </cell>
          <cell r="BQ90">
            <v>3</v>
          </cell>
          <cell r="BR90" t="str">
            <v>HED</v>
          </cell>
          <cell r="CA90">
            <v>1</v>
          </cell>
          <cell r="CB90" t="str">
            <v>HED</v>
          </cell>
          <cell r="CE90">
            <v>4</v>
          </cell>
          <cell r="CF90" t="str">
            <v>HED</v>
          </cell>
          <cell r="CK90">
            <v>1</v>
          </cell>
          <cell r="CL90" t="str">
            <v>HED</v>
          </cell>
          <cell r="CM90">
            <v>1</v>
          </cell>
          <cell r="CN90" t="str">
            <v>HED</v>
          </cell>
          <cell r="CO90">
            <v>1</v>
          </cell>
          <cell r="CP90" t="str">
            <v>HED</v>
          </cell>
          <cell r="CQ90">
            <v>2</v>
          </cell>
          <cell r="CR90" t="str">
            <v>HED</v>
          </cell>
        </row>
        <row r="91">
          <cell r="A91">
            <v>77</v>
          </cell>
          <cell r="B91">
            <v>73212502</v>
          </cell>
          <cell r="C91" t="str">
            <v>GALAN MARTINEZ LUIS CARLOS</v>
          </cell>
          <cell r="D91" t="str">
            <v>BOGOTA</v>
          </cell>
          <cell r="E91">
            <v>2100</v>
          </cell>
          <cell r="F91">
            <v>125</v>
          </cell>
          <cell r="G91" t="str">
            <v>ICA</v>
          </cell>
          <cell r="H91" t="str">
            <v>JUNIO-JULIO</v>
          </cell>
          <cell r="I91">
            <v>450000</v>
          </cell>
          <cell r="BC91">
            <v>6</v>
          </cell>
          <cell r="BD91" t="str">
            <v>HED</v>
          </cell>
          <cell r="BG91">
            <v>1</v>
          </cell>
          <cell r="BH91" t="str">
            <v>HED</v>
          </cell>
          <cell r="BI91">
            <v>1</v>
          </cell>
          <cell r="BJ91" t="str">
            <v>HED</v>
          </cell>
          <cell r="BK91">
            <v>1</v>
          </cell>
          <cell r="BL91" t="str">
            <v>HED</v>
          </cell>
          <cell r="BM91">
            <v>1</v>
          </cell>
          <cell r="BN91" t="str">
            <v>HED</v>
          </cell>
          <cell r="BQ91">
            <v>4</v>
          </cell>
          <cell r="BR91" t="str">
            <v>HED</v>
          </cell>
          <cell r="BS91">
            <v>6</v>
          </cell>
          <cell r="BT91" t="str">
            <v>HEFD</v>
          </cell>
          <cell r="BW91">
            <v>1</v>
          </cell>
          <cell r="BX91" t="str">
            <v>HED</v>
          </cell>
          <cell r="BY91">
            <v>1</v>
          </cell>
          <cell r="BZ91" t="str">
            <v>HED</v>
          </cell>
          <cell r="CA91">
            <v>1</v>
          </cell>
          <cell r="CB91" t="str">
            <v>HED</v>
          </cell>
          <cell r="CC91">
            <v>1</v>
          </cell>
          <cell r="CD91" t="str">
            <v>HED</v>
          </cell>
          <cell r="CE91">
            <v>1</v>
          </cell>
          <cell r="CF91" t="str">
            <v>HED</v>
          </cell>
          <cell r="CG91">
            <v>1</v>
          </cell>
          <cell r="CH91" t="str">
            <v>HED</v>
          </cell>
        </row>
        <row r="92">
          <cell r="A92">
            <v>78</v>
          </cell>
          <cell r="B92">
            <v>5116979</v>
          </cell>
          <cell r="C92" t="str">
            <v>GALVAN LOPEZ SAMUEL</v>
          </cell>
          <cell r="D92" t="str">
            <v>BOGOTA</v>
          </cell>
          <cell r="E92">
            <v>2100</v>
          </cell>
          <cell r="F92">
            <v>79</v>
          </cell>
          <cell r="G92" t="str">
            <v>UNIANDES</v>
          </cell>
          <cell r="H92" t="str">
            <v>JUNIO-JULIO</v>
          </cell>
          <cell r="I92">
            <v>520000</v>
          </cell>
          <cell r="AU92">
            <v>1</v>
          </cell>
          <cell r="AV92" t="str">
            <v>HED</v>
          </cell>
          <cell r="AW92">
            <v>1</v>
          </cell>
          <cell r="AX92" t="str">
            <v>HED</v>
          </cell>
          <cell r="AY92">
            <v>1</v>
          </cell>
          <cell r="AZ92" t="str">
            <v>HED</v>
          </cell>
          <cell r="BC92">
            <v>6</v>
          </cell>
          <cell r="BD92" t="str">
            <v>HED</v>
          </cell>
          <cell r="BQ92">
            <v>5</v>
          </cell>
          <cell r="BR92" t="str">
            <v>HED</v>
          </cell>
          <cell r="BY92">
            <v>1</v>
          </cell>
          <cell r="BZ92" t="str">
            <v>HED</v>
          </cell>
          <cell r="CE92">
            <v>6</v>
          </cell>
          <cell r="CF92" t="str">
            <v>HED</v>
          </cell>
          <cell r="CI92">
            <v>1</v>
          </cell>
          <cell r="CJ92" t="str">
            <v>HED</v>
          </cell>
          <cell r="CM92">
            <v>1</v>
          </cell>
          <cell r="CN92" t="str">
            <v>HED</v>
          </cell>
          <cell r="CO92">
            <v>1</v>
          </cell>
          <cell r="CP92" t="str">
            <v>HED</v>
          </cell>
          <cell r="CQ92">
            <v>1</v>
          </cell>
          <cell r="CR92" t="str">
            <v>HED</v>
          </cell>
          <cell r="CS92">
            <v>6</v>
          </cell>
          <cell r="CT92" t="str">
            <v>HED</v>
          </cell>
        </row>
        <row r="93">
          <cell r="A93">
            <v>79</v>
          </cell>
          <cell r="B93">
            <v>72050021</v>
          </cell>
          <cell r="C93" t="str">
            <v>GAMERO BONETT RAFAEL ANTONIO</v>
          </cell>
          <cell r="D93" t="str">
            <v>BARRANQUILLA</v>
          </cell>
          <cell r="E93">
            <v>1100</v>
          </cell>
          <cell r="F93">
            <v>88</v>
          </cell>
          <cell r="G93" t="str">
            <v>OLIMPICA</v>
          </cell>
          <cell r="I93">
            <v>500000</v>
          </cell>
        </row>
        <row r="94">
          <cell r="A94">
            <v>80</v>
          </cell>
          <cell r="B94">
            <v>22531301</v>
          </cell>
          <cell r="C94" t="str">
            <v>GAMERO DE AVILA JANETT ISABEL</v>
          </cell>
          <cell r="D94" t="str">
            <v>BARRANQUILLA</v>
          </cell>
          <cell r="E94">
            <v>2008</v>
          </cell>
          <cell r="F94">
            <v>2</v>
          </cell>
          <cell r="I94">
            <v>450000</v>
          </cell>
        </row>
        <row r="95">
          <cell r="A95">
            <v>81</v>
          </cell>
          <cell r="B95">
            <v>23418001</v>
          </cell>
          <cell r="C95" t="str">
            <v>GAMEZ BERNAL TELSY RUTH</v>
          </cell>
          <cell r="D95" t="str">
            <v>CASANARE</v>
          </cell>
          <cell r="E95">
            <v>2041</v>
          </cell>
          <cell r="F95">
            <v>4</v>
          </cell>
          <cell r="G95" t="str">
            <v>CUPIAGUA</v>
          </cell>
          <cell r="I95">
            <v>1200000</v>
          </cell>
        </row>
        <row r="96">
          <cell r="A96">
            <v>82</v>
          </cell>
          <cell r="B96">
            <v>1051357740</v>
          </cell>
          <cell r="C96" t="str">
            <v>GARCIA ALVAREZ JESUS ANTONIO</v>
          </cell>
          <cell r="D96" t="str">
            <v>CERREJON</v>
          </cell>
          <cell r="E96">
            <v>1041</v>
          </cell>
          <cell r="F96">
            <v>4</v>
          </cell>
          <cell r="G96" t="str">
            <v>MINA</v>
          </cell>
          <cell r="I96">
            <v>433700</v>
          </cell>
        </row>
        <row r="97">
          <cell r="A97">
            <v>83</v>
          </cell>
          <cell r="B97">
            <v>1036608336</v>
          </cell>
          <cell r="C97" t="str">
            <v>GARCIA GONZALEZ JUAN CARLOS</v>
          </cell>
          <cell r="D97" t="str">
            <v>MEDELLIN</v>
          </cell>
          <cell r="E97">
            <v>2100</v>
          </cell>
          <cell r="F97">
            <v>114</v>
          </cell>
          <cell r="G97" t="str">
            <v>PANAMERICANA</v>
          </cell>
          <cell r="H97" t="str">
            <v>JUNIO-JULIO</v>
          </cell>
          <cell r="I97">
            <v>433700</v>
          </cell>
          <cell r="AK97">
            <v>4</v>
          </cell>
          <cell r="AL97" t="str">
            <v>HED</v>
          </cell>
          <cell r="AM97">
            <v>1</v>
          </cell>
          <cell r="AN97" t="str">
            <v>HED</v>
          </cell>
          <cell r="AO97">
            <v>1</v>
          </cell>
          <cell r="AP97" t="str">
            <v>HED</v>
          </cell>
          <cell r="AQ97">
            <v>5</v>
          </cell>
          <cell r="AR97" t="str">
            <v>HEFD</v>
          </cell>
        </row>
        <row r="98">
          <cell r="A98">
            <v>84</v>
          </cell>
          <cell r="B98">
            <v>19310982</v>
          </cell>
          <cell r="C98" t="str">
            <v>GARCIA PACHON LUIS ALEJANDRO</v>
          </cell>
          <cell r="D98" t="str">
            <v>BOGOTA</v>
          </cell>
          <cell r="E98">
            <v>2100</v>
          </cell>
          <cell r="F98">
            <v>79</v>
          </cell>
          <cell r="G98" t="str">
            <v>UNIANDES</v>
          </cell>
          <cell r="I98">
            <v>1500000</v>
          </cell>
        </row>
        <row r="99">
          <cell r="A99">
            <v>85</v>
          </cell>
          <cell r="B99">
            <v>80381226</v>
          </cell>
          <cell r="C99" t="str">
            <v>GARNICA RODRIGUEZ GERMAN EUSEBIO</v>
          </cell>
          <cell r="D99" t="str">
            <v>BOGOTA</v>
          </cell>
          <cell r="E99">
            <v>2007</v>
          </cell>
          <cell r="F99">
            <v>1</v>
          </cell>
          <cell r="G99" t="str">
            <v xml:space="preserve">MATERIALES </v>
          </cell>
          <cell r="I99">
            <v>700000</v>
          </cell>
        </row>
        <row r="100">
          <cell r="A100">
            <v>86</v>
          </cell>
          <cell r="B100">
            <v>74795464</v>
          </cell>
          <cell r="C100" t="str">
            <v>GARZON GARZON ALVEIRO</v>
          </cell>
          <cell r="D100" t="str">
            <v>CASANARE</v>
          </cell>
          <cell r="E100">
            <v>2041</v>
          </cell>
          <cell r="F100">
            <v>14</v>
          </cell>
          <cell r="G100" t="str">
            <v>BASES MILITARES</v>
          </cell>
          <cell r="I100">
            <v>861370</v>
          </cell>
        </row>
        <row r="101">
          <cell r="A101">
            <v>87</v>
          </cell>
          <cell r="B101">
            <v>93397274</v>
          </cell>
          <cell r="C101" t="str">
            <v>GARZON RAMIREZ JOSE GERARDO</v>
          </cell>
          <cell r="D101" t="str">
            <v>BOGOTA</v>
          </cell>
          <cell r="E101">
            <v>2004</v>
          </cell>
          <cell r="F101">
            <v>2</v>
          </cell>
          <cell r="G101" t="str">
            <v>OBRAS OPERATIVO</v>
          </cell>
          <cell r="I101">
            <v>817000</v>
          </cell>
        </row>
        <row r="102">
          <cell r="A102">
            <v>88</v>
          </cell>
          <cell r="B102">
            <v>53073667</v>
          </cell>
          <cell r="C102" t="str">
            <v>GIRALDO GOMEZ MARIA DEL PILAR</v>
          </cell>
          <cell r="D102" t="str">
            <v>BOGOTA</v>
          </cell>
          <cell r="E102">
            <v>2009</v>
          </cell>
          <cell r="F102">
            <v>3</v>
          </cell>
          <cell r="G102" t="str">
            <v>SALUD OCUAPCIONAL</v>
          </cell>
          <cell r="I102">
            <v>1000000</v>
          </cell>
        </row>
        <row r="103">
          <cell r="A103">
            <v>89</v>
          </cell>
          <cell r="B103">
            <v>79902878</v>
          </cell>
          <cell r="C103" t="str">
            <v>GODOY RAMIREZ JOSE ALEXANDER</v>
          </cell>
          <cell r="D103" t="str">
            <v>BOGOTA</v>
          </cell>
          <cell r="E103">
            <v>2005</v>
          </cell>
          <cell r="F103">
            <v>2</v>
          </cell>
          <cell r="G103" t="str">
            <v>SERVICIOS OPERATIVO</v>
          </cell>
          <cell r="H103" t="str">
            <v>JUNIO-JULIO</v>
          </cell>
          <cell r="I103">
            <v>590000</v>
          </cell>
          <cell r="BI103">
            <v>5</v>
          </cell>
          <cell r="BJ103" t="str">
            <v>HED</v>
          </cell>
          <cell r="BK103">
            <v>5</v>
          </cell>
          <cell r="BL103" t="str">
            <v>HED</v>
          </cell>
          <cell r="BM103">
            <v>5</v>
          </cell>
          <cell r="BN103" t="str">
            <v>HED</v>
          </cell>
          <cell r="BO103">
            <v>5</v>
          </cell>
          <cell r="BP103" t="str">
            <v>HED</v>
          </cell>
          <cell r="BS103">
            <v>7</v>
          </cell>
          <cell r="BT103" t="str">
            <v>HEFD</v>
          </cell>
        </row>
        <row r="104">
          <cell r="A104">
            <v>90</v>
          </cell>
          <cell r="B104">
            <v>98702232</v>
          </cell>
          <cell r="C104" t="str">
            <v>GOMEZ MARIN ANDRES ALBERTO</v>
          </cell>
          <cell r="D104" t="str">
            <v>MEDELLIN</v>
          </cell>
          <cell r="E104">
            <v>2100</v>
          </cell>
          <cell r="F104">
            <v>114</v>
          </cell>
          <cell r="G104" t="str">
            <v>PARQUE EXPLORA</v>
          </cell>
          <cell r="H104" t="str">
            <v>JUNIO-JULIO</v>
          </cell>
          <cell r="I104">
            <v>433700</v>
          </cell>
          <cell r="AO104">
            <v>1</v>
          </cell>
          <cell r="AP104" t="str">
            <v>HED</v>
          </cell>
          <cell r="AQ104">
            <v>5</v>
          </cell>
          <cell r="AR104" t="str">
            <v>HEFD</v>
          </cell>
          <cell r="BS104">
            <v>8</v>
          </cell>
          <cell r="BT104" t="str">
            <v>HEFD</v>
          </cell>
          <cell r="CE104">
            <v>4</v>
          </cell>
          <cell r="CF104" t="str">
            <v>HED</v>
          </cell>
          <cell r="CS104">
            <v>4</v>
          </cell>
          <cell r="CT104" t="str">
            <v>HED</v>
          </cell>
          <cell r="CU104">
            <v>8</v>
          </cell>
          <cell r="CV104" t="str">
            <v>HEFD</v>
          </cell>
        </row>
        <row r="105">
          <cell r="A105">
            <v>91</v>
          </cell>
          <cell r="B105">
            <v>52502355</v>
          </cell>
          <cell r="C105" t="str">
            <v>GOMEZ PACHON YENNY MILENA</v>
          </cell>
          <cell r="D105" t="str">
            <v>BOGOTA</v>
          </cell>
          <cell r="E105">
            <v>2006</v>
          </cell>
          <cell r="F105">
            <v>3</v>
          </cell>
          <cell r="G105" t="str">
            <v>PRESUPUESTOS</v>
          </cell>
          <cell r="I105">
            <v>1200000</v>
          </cell>
        </row>
        <row r="106">
          <cell r="A106">
            <v>92</v>
          </cell>
          <cell r="B106">
            <v>17160004</v>
          </cell>
          <cell r="C106" t="str">
            <v>GOMEZ SANCHEZ RAFAEL HERNANDO</v>
          </cell>
          <cell r="D106" t="str">
            <v>CERREJON</v>
          </cell>
          <cell r="E106">
            <v>1041</v>
          </cell>
          <cell r="F106">
            <v>3</v>
          </cell>
          <cell r="G106" t="str">
            <v>MINA</v>
          </cell>
          <cell r="I106">
            <v>3600000</v>
          </cell>
        </row>
        <row r="107">
          <cell r="A107">
            <v>93</v>
          </cell>
          <cell r="B107">
            <v>28738599</v>
          </cell>
          <cell r="C107" t="str">
            <v>GONZALEZ DUARTE CLARA ELCIDA</v>
          </cell>
          <cell r="D107" t="str">
            <v>BOGOTA</v>
          </cell>
          <cell r="E107">
            <v>2001</v>
          </cell>
          <cell r="F107">
            <v>1</v>
          </cell>
          <cell r="G107" t="str">
            <v>ALTA DIRECCION</v>
          </cell>
          <cell r="I107">
            <v>800000</v>
          </cell>
        </row>
        <row r="108">
          <cell r="A108">
            <v>94</v>
          </cell>
          <cell r="B108">
            <v>9659344</v>
          </cell>
          <cell r="C108" t="str">
            <v>GONZALEZ ROJAS JOSE ARIALDO</v>
          </cell>
          <cell r="D108" t="str">
            <v>CASANARE</v>
          </cell>
          <cell r="E108">
            <v>2041</v>
          </cell>
          <cell r="F108">
            <v>6</v>
          </cell>
          <cell r="G108" t="str">
            <v>BASE BP YOPAL</v>
          </cell>
          <cell r="I108">
            <v>924200</v>
          </cell>
        </row>
        <row r="109">
          <cell r="A109">
            <v>95</v>
          </cell>
          <cell r="B109">
            <v>77022968</v>
          </cell>
          <cell r="C109" t="str">
            <v>GONZALEZ VELASQUEZ VICTOR MANUEL</v>
          </cell>
          <cell r="D109" t="str">
            <v>CERREJON</v>
          </cell>
          <cell r="E109">
            <v>1041</v>
          </cell>
          <cell r="F109">
            <v>4</v>
          </cell>
          <cell r="G109" t="str">
            <v>MINA</v>
          </cell>
          <cell r="I109">
            <v>810000</v>
          </cell>
        </row>
        <row r="110">
          <cell r="A110">
            <v>96</v>
          </cell>
          <cell r="B110">
            <v>77182833</v>
          </cell>
          <cell r="C110" t="str">
            <v>GONZALEZ VILLA LUIS EDUARDO</v>
          </cell>
          <cell r="D110" t="str">
            <v>CERREJON</v>
          </cell>
          <cell r="E110">
            <v>1041</v>
          </cell>
          <cell r="F110">
            <v>4</v>
          </cell>
          <cell r="G110" t="str">
            <v>MINA</v>
          </cell>
          <cell r="I110">
            <v>650000</v>
          </cell>
        </row>
        <row r="111">
          <cell r="A111">
            <v>97</v>
          </cell>
          <cell r="B111">
            <v>84087684</v>
          </cell>
          <cell r="C111" t="str">
            <v>GUERRA TIRADO ILDER JOSET</v>
          </cell>
          <cell r="D111" t="str">
            <v>CERREJON</v>
          </cell>
          <cell r="E111">
            <v>1041</v>
          </cell>
          <cell r="F111">
            <v>4</v>
          </cell>
          <cell r="G111" t="str">
            <v>MINA</v>
          </cell>
          <cell r="I111">
            <v>740000</v>
          </cell>
        </row>
        <row r="112">
          <cell r="A112">
            <v>98</v>
          </cell>
          <cell r="B112">
            <v>72219077</v>
          </cell>
          <cell r="C112" t="str">
            <v>GUITIERREZ FLOREZ EDISON</v>
          </cell>
          <cell r="D112" t="str">
            <v>CERREJON</v>
          </cell>
          <cell r="E112">
            <v>1041</v>
          </cell>
          <cell r="F112" t="str">
            <v>4</v>
          </cell>
          <cell r="G112" t="str">
            <v>MINA</v>
          </cell>
          <cell r="I112">
            <v>650000</v>
          </cell>
        </row>
        <row r="113">
          <cell r="A113">
            <v>99</v>
          </cell>
          <cell r="B113">
            <v>73159426</v>
          </cell>
          <cell r="C113" t="str">
            <v>HENRIQUEZ CANO OSCAR</v>
          </cell>
          <cell r="D113" t="str">
            <v>BOGOTA</v>
          </cell>
          <cell r="E113">
            <v>2100</v>
          </cell>
          <cell r="F113">
            <v>125</v>
          </cell>
          <cell r="G113" t="str">
            <v>ICA</v>
          </cell>
          <cell r="H113" t="str">
            <v>JUNIO-JULIO</v>
          </cell>
          <cell r="I113">
            <v>470000</v>
          </cell>
          <cell r="BC113">
            <v>6</v>
          </cell>
          <cell r="BD113" t="str">
            <v>HED</v>
          </cell>
          <cell r="BE113">
            <v>7</v>
          </cell>
          <cell r="BF113" t="str">
            <v>HEFD</v>
          </cell>
          <cell r="BG113">
            <v>1</v>
          </cell>
          <cell r="BH113" t="str">
            <v>HED</v>
          </cell>
          <cell r="BI113">
            <v>1</v>
          </cell>
          <cell r="BJ113" t="str">
            <v>HED</v>
          </cell>
          <cell r="BK113">
            <v>1</v>
          </cell>
          <cell r="BL113" t="str">
            <v>HED</v>
          </cell>
          <cell r="BM113">
            <v>1</v>
          </cell>
          <cell r="BN113" t="str">
            <v>HED</v>
          </cell>
          <cell r="BQ113">
            <v>3</v>
          </cell>
          <cell r="BR113" t="str">
            <v>HED</v>
          </cell>
          <cell r="BU113">
            <v>7</v>
          </cell>
          <cell r="BV113" t="str">
            <v>HEFD</v>
          </cell>
          <cell r="BW113">
            <v>1</v>
          </cell>
          <cell r="BX113" t="str">
            <v>HED</v>
          </cell>
          <cell r="BY113">
            <v>1</v>
          </cell>
          <cell r="BZ113" t="str">
            <v>HED</v>
          </cell>
          <cell r="CA113">
            <v>1</v>
          </cell>
          <cell r="CB113" t="str">
            <v>HED</v>
          </cell>
          <cell r="CE113">
            <v>5</v>
          </cell>
          <cell r="CF113" t="str">
            <v>HED</v>
          </cell>
          <cell r="CI113">
            <v>1</v>
          </cell>
          <cell r="CJ113" t="str">
            <v>HED</v>
          </cell>
          <cell r="CK113">
            <v>1</v>
          </cell>
          <cell r="CL113" t="str">
            <v>HED</v>
          </cell>
          <cell r="CM113">
            <v>1</v>
          </cell>
          <cell r="CN113" t="str">
            <v>HED</v>
          </cell>
          <cell r="CO113">
            <v>1</v>
          </cell>
          <cell r="CP113" t="str">
            <v>HED</v>
          </cell>
          <cell r="CQ113">
            <v>1</v>
          </cell>
          <cell r="CR113" t="str">
            <v>HED</v>
          </cell>
          <cell r="CS113">
            <v>2</v>
          </cell>
          <cell r="CT113" t="str">
            <v>HED</v>
          </cell>
        </row>
        <row r="114">
          <cell r="A114">
            <v>100</v>
          </cell>
          <cell r="B114">
            <v>73095870</v>
          </cell>
          <cell r="C114" t="str">
            <v>HERAZO AYALA ALBERTO</v>
          </cell>
          <cell r="D114" t="str">
            <v>BARRANQUILLA</v>
          </cell>
          <cell r="E114">
            <v>2002</v>
          </cell>
          <cell r="F114">
            <v>3</v>
          </cell>
          <cell r="I114">
            <v>433700</v>
          </cell>
        </row>
        <row r="115">
          <cell r="A115">
            <v>101</v>
          </cell>
          <cell r="B115">
            <v>32750686</v>
          </cell>
          <cell r="C115" t="str">
            <v>HERRERA BARRAZA NORELYS IRIS</v>
          </cell>
          <cell r="D115" t="str">
            <v>BARRANQUILLA</v>
          </cell>
          <cell r="E115">
            <v>2005</v>
          </cell>
          <cell r="F115">
            <v>3</v>
          </cell>
          <cell r="I115">
            <v>900000</v>
          </cell>
        </row>
        <row r="116">
          <cell r="A116">
            <v>102</v>
          </cell>
          <cell r="B116">
            <v>92514825</v>
          </cell>
          <cell r="C116" t="str">
            <v>HERRERA GARCIA GENRY EMILIO</v>
          </cell>
          <cell r="D116" t="str">
            <v>CERREJON</v>
          </cell>
          <cell r="E116">
            <v>1041</v>
          </cell>
          <cell r="F116">
            <v>3</v>
          </cell>
          <cell r="G116" t="str">
            <v>MINA</v>
          </cell>
          <cell r="I116">
            <v>2000000</v>
          </cell>
        </row>
        <row r="117">
          <cell r="A117">
            <v>103</v>
          </cell>
          <cell r="B117">
            <v>72266807</v>
          </cell>
          <cell r="C117" t="str">
            <v>HERRERA JACOME WILFRED ENRIQUE</v>
          </cell>
          <cell r="D117" t="str">
            <v>CERREJON</v>
          </cell>
          <cell r="E117">
            <v>1041</v>
          </cell>
          <cell r="F117">
            <v>4</v>
          </cell>
          <cell r="G117" t="str">
            <v>MINA</v>
          </cell>
          <cell r="I117">
            <v>650000</v>
          </cell>
        </row>
        <row r="118">
          <cell r="A118">
            <v>104</v>
          </cell>
          <cell r="B118">
            <v>72214153</v>
          </cell>
          <cell r="C118" t="str">
            <v>HERRERA TORRES LUIS ALBERTO</v>
          </cell>
          <cell r="D118" t="str">
            <v>BARRANQUILLA</v>
          </cell>
          <cell r="E118">
            <v>2100</v>
          </cell>
          <cell r="F118">
            <v>78</v>
          </cell>
          <cell r="I118">
            <v>747700</v>
          </cell>
        </row>
        <row r="119">
          <cell r="A119">
            <v>105</v>
          </cell>
          <cell r="B119">
            <v>33284392</v>
          </cell>
          <cell r="C119" t="str">
            <v>HERRERA TORRES YORFINA</v>
          </cell>
          <cell r="D119" t="str">
            <v>BARRANQUILLA</v>
          </cell>
          <cell r="E119">
            <v>2002</v>
          </cell>
          <cell r="F119">
            <v>3</v>
          </cell>
          <cell r="I119">
            <v>1100000</v>
          </cell>
        </row>
        <row r="120">
          <cell r="A120">
            <v>106</v>
          </cell>
          <cell r="B120">
            <v>1057756854</v>
          </cell>
          <cell r="C120" t="str">
            <v>HOLGUIN MONTOYA DANIEL</v>
          </cell>
          <cell r="D120" t="str">
            <v>MEDELLIN</v>
          </cell>
          <cell r="E120">
            <v>2100</v>
          </cell>
          <cell r="F120">
            <v>103</v>
          </cell>
          <cell r="G120" t="str">
            <v xml:space="preserve">CLINICA CRUZ BLANCA </v>
          </cell>
          <cell r="H120" t="str">
            <v>JUNIO-JULIO</v>
          </cell>
          <cell r="I120">
            <v>433700</v>
          </cell>
        </row>
        <row r="121">
          <cell r="A121">
            <v>107</v>
          </cell>
          <cell r="B121">
            <v>51921344</v>
          </cell>
          <cell r="C121" t="str">
            <v>ISSA ESPINOSA TAMAM ANGELA</v>
          </cell>
          <cell r="D121" t="str">
            <v>BOGOTA</v>
          </cell>
          <cell r="E121">
            <v>2008</v>
          </cell>
          <cell r="F121">
            <v>1</v>
          </cell>
          <cell r="G121" t="str">
            <v xml:space="preserve">CONTABILIDAD </v>
          </cell>
          <cell r="I121">
            <v>5000000</v>
          </cell>
        </row>
        <row r="122">
          <cell r="A122">
            <v>108</v>
          </cell>
          <cell r="B122">
            <v>79671374</v>
          </cell>
          <cell r="C122" t="str">
            <v>JIMENEZ ALVAREZ GABRIEL ALBERTO</v>
          </cell>
          <cell r="D122" t="str">
            <v>BOGOTA</v>
          </cell>
          <cell r="E122">
            <v>2006</v>
          </cell>
          <cell r="F122">
            <v>1</v>
          </cell>
          <cell r="G122" t="str">
            <v>INGENIERIA ADMINISTRATIVO</v>
          </cell>
          <cell r="I122">
            <v>2870000</v>
          </cell>
        </row>
        <row r="123">
          <cell r="A123">
            <v>109</v>
          </cell>
          <cell r="B123">
            <v>52644828</v>
          </cell>
          <cell r="C123" t="str">
            <v>JIMENEZ CAMACHO CLAUDIA PATRICIA</v>
          </cell>
          <cell r="D123" t="str">
            <v>BOGOTA</v>
          </cell>
          <cell r="E123">
            <v>2001</v>
          </cell>
          <cell r="F123">
            <v>5</v>
          </cell>
          <cell r="G123" t="str">
            <v>GERENCIA FINANCIERA</v>
          </cell>
          <cell r="I123">
            <v>2700000</v>
          </cell>
        </row>
        <row r="124">
          <cell r="A124">
            <v>110</v>
          </cell>
          <cell r="B124">
            <v>17178120</v>
          </cell>
          <cell r="C124" t="str">
            <v>JIMENEZ FERNANDEZ AURELIO</v>
          </cell>
          <cell r="D124" t="str">
            <v>BOGOTA</v>
          </cell>
          <cell r="E124">
            <v>2001</v>
          </cell>
          <cell r="F124">
            <v>1</v>
          </cell>
          <cell r="G124" t="str">
            <v>ALTA DIRECCION</v>
          </cell>
          <cell r="I124">
            <v>8674000</v>
          </cell>
        </row>
        <row r="125">
          <cell r="A125">
            <v>111</v>
          </cell>
          <cell r="B125">
            <v>19119516</v>
          </cell>
          <cell r="C125" t="str">
            <v>JIMENEZ FERNANDEZ GABRIEL ALFONSO</v>
          </cell>
          <cell r="D125" t="str">
            <v>BOGOTA</v>
          </cell>
          <cell r="E125">
            <v>2001</v>
          </cell>
          <cell r="F125">
            <v>1</v>
          </cell>
          <cell r="G125" t="str">
            <v>ALTA DIRECCION</v>
          </cell>
          <cell r="I125">
            <v>8674000</v>
          </cell>
        </row>
        <row r="126">
          <cell r="A126">
            <v>112</v>
          </cell>
          <cell r="B126">
            <v>17445812</v>
          </cell>
          <cell r="C126" t="str">
            <v>JIMENEZ GARAVITO ALBERTO</v>
          </cell>
          <cell r="D126" t="str">
            <v>BOGOTA</v>
          </cell>
          <cell r="E126">
            <v>2100</v>
          </cell>
          <cell r="F126">
            <v>79</v>
          </cell>
          <cell r="G126" t="str">
            <v>UNIANDES</v>
          </cell>
          <cell r="I126">
            <v>2000000</v>
          </cell>
        </row>
        <row r="127">
          <cell r="A127">
            <v>113</v>
          </cell>
          <cell r="B127">
            <v>80495713</v>
          </cell>
          <cell r="C127" t="str">
            <v>JIMENEZ GARCIA ORLANDO</v>
          </cell>
          <cell r="D127" t="str">
            <v>BOGOTA</v>
          </cell>
          <cell r="E127">
            <v>2002</v>
          </cell>
          <cell r="F127">
            <v>1</v>
          </cell>
          <cell r="G127" t="str">
            <v>ADMINISTRATIVO</v>
          </cell>
          <cell r="I127">
            <v>750000</v>
          </cell>
        </row>
        <row r="128">
          <cell r="A128">
            <v>114</v>
          </cell>
          <cell r="B128">
            <v>72001056</v>
          </cell>
          <cell r="C128" t="str">
            <v>JIMENEZ SERNA NELSON ALFONSO</v>
          </cell>
          <cell r="D128" t="str">
            <v>BARRANQUILLA</v>
          </cell>
          <cell r="E128">
            <v>2003</v>
          </cell>
          <cell r="F128">
            <v>2</v>
          </cell>
          <cell r="I128">
            <v>1065000</v>
          </cell>
        </row>
        <row r="129">
          <cell r="A129">
            <v>115</v>
          </cell>
          <cell r="B129">
            <v>8061898</v>
          </cell>
          <cell r="C129" t="str">
            <v xml:space="preserve">JIMENEZ ZAPATA JOHNNATAN </v>
          </cell>
          <cell r="D129" t="str">
            <v>MEDELLIN</v>
          </cell>
          <cell r="E129">
            <v>2100</v>
          </cell>
          <cell r="F129">
            <v>114</v>
          </cell>
          <cell r="G129" t="str">
            <v>PANAMERICANA</v>
          </cell>
          <cell r="H129" t="str">
            <v>JUNIO-JULIO</v>
          </cell>
          <cell r="I129">
            <v>433700</v>
          </cell>
          <cell r="AK129">
            <v>4</v>
          </cell>
          <cell r="AL129" t="str">
            <v>HED</v>
          </cell>
          <cell r="AM129">
            <v>1</v>
          </cell>
          <cell r="AN129" t="str">
            <v>HED</v>
          </cell>
          <cell r="BU129">
            <v>10</v>
          </cell>
          <cell r="BV129" t="str">
            <v>HEFD</v>
          </cell>
          <cell r="BW129">
            <v>1</v>
          </cell>
          <cell r="BX129" t="str">
            <v>HED</v>
          </cell>
          <cell r="CE129">
            <v>4</v>
          </cell>
          <cell r="CF129" t="str">
            <v>HED</v>
          </cell>
        </row>
        <row r="130">
          <cell r="A130">
            <v>116</v>
          </cell>
          <cell r="B130">
            <v>8801497</v>
          </cell>
          <cell r="C130" t="str">
            <v>JOJOA MARQUEZ HUGO EDUARDO</v>
          </cell>
          <cell r="D130" t="str">
            <v>BARRANQUILLA</v>
          </cell>
          <cell r="E130">
            <v>2004</v>
          </cell>
          <cell r="F130">
            <v>2</v>
          </cell>
          <cell r="I130">
            <v>1430000</v>
          </cell>
        </row>
        <row r="131">
          <cell r="A131">
            <v>117</v>
          </cell>
          <cell r="B131">
            <v>72310977</v>
          </cell>
          <cell r="C131" t="str">
            <v>JOJOA MARQUEZ RICARDO ALFONSO</v>
          </cell>
          <cell r="D131" t="str">
            <v>BARRANQUILLA</v>
          </cell>
          <cell r="E131">
            <v>2004</v>
          </cell>
          <cell r="F131">
            <v>4</v>
          </cell>
          <cell r="I131">
            <v>1430000</v>
          </cell>
        </row>
        <row r="132">
          <cell r="A132">
            <v>118</v>
          </cell>
          <cell r="B132">
            <v>92450832</v>
          </cell>
          <cell r="C132" t="str">
            <v>JULIO MEDINA FELIX ENRIQUE</v>
          </cell>
          <cell r="D132" t="str">
            <v>BOGOTA</v>
          </cell>
          <cell r="E132">
            <v>2100</v>
          </cell>
          <cell r="F132">
            <v>79</v>
          </cell>
          <cell r="G132" t="str">
            <v>UNIANDES</v>
          </cell>
          <cell r="H132" t="str">
            <v>JUNIO-JULIO</v>
          </cell>
          <cell r="I132">
            <v>433700</v>
          </cell>
          <cell r="AU132">
            <v>1</v>
          </cell>
          <cell r="AV132" t="str">
            <v>HED</v>
          </cell>
          <cell r="AY132">
            <v>1</v>
          </cell>
          <cell r="AZ132" t="str">
            <v>HED</v>
          </cell>
          <cell r="BC132">
            <v>6</v>
          </cell>
          <cell r="BD132" t="str">
            <v>HED</v>
          </cell>
          <cell r="BQ132">
            <v>2</v>
          </cell>
          <cell r="BR132" t="str">
            <v>HED</v>
          </cell>
          <cell r="BY132">
            <v>1</v>
          </cell>
          <cell r="BZ132" t="str">
            <v>HED</v>
          </cell>
          <cell r="CE132">
            <v>6</v>
          </cell>
          <cell r="CF132" t="str">
            <v>HED</v>
          </cell>
          <cell r="CI132">
            <v>1</v>
          </cell>
          <cell r="CJ132" t="str">
            <v>HED</v>
          </cell>
          <cell r="CM132">
            <v>1</v>
          </cell>
          <cell r="CN132" t="str">
            <v>HED</v>
          </cell>
          <cell r="CO132">
            <v>3</v>
          </cell>
          <cell r="CP132" t="str">
            <v>HED</v>
          </cell>
          <cell r="CQ132">
            <v>1</v>
          </cell>
          <cell r="CR132" t="str">
            <v>HED</v>
          </cell>
          <cell r="CS132">
            <v>6</v>
          </cell>
          <cell r="CT132" t="str">
            <v>HED</v>
          </cell>
        </row>
        <row r="133">
          <cell r="A133">
            <v>119</v>
          </cell>
          <cell r="B133">
            <v>8850703</v>
          </cell>
          <cell r="C133" t="str">
            <v>JULIO SARMIENTO ROIDILSON</v>
          </cell>
          <cell r="D133" t="str">
            <v>BOGOTA</v>
          </cell>
          <cell r="E133">
            <v>2100</v>
          </cell>
          <cell r="F133">
            <v>125</v>
          </cell>
          <cell r="G133" t="str">
            <v>ICA</v>
          </cell>
          <cell r="H133" t="str">
            <v>JUNIO-JULIO</v>
          </cell>
          <cell r="I133">
            <v>520000</v>
          </cell>
          <cell r="AS133">
            <v>4</v>
          </cell>
          <cell r="AT133" t="str">
            <v>HED</v>
          </cell>
          <cell r="BC133">
            <v>6</v>
          </cell>
          <cell r="BD133" t="str">
            <v>HED</v>
          </cell>
          <cell r="BE133">
            <v>7</v>
          </cell>
          <cell r="BF133" t="str">
            <v>HEFD</v>
          </cell>
          <cell r="BG133">
            <v>1</v>
          </cell>
          <cell r="BH133" t="str">
            <v>HED</v>
          </cell>
          <cell r="BI133">
            <v>1</v>
          </cell>
          <cell r="BJ133" t="str">
            <v>HED</v>
          </cell>
          <cell r="BK133">
            <v>1</v>
          </cell>
          <cell r="BL133" t="str">
            <v>HED</v>
          </cell>
          <cell r="BM133">
            <v>1</v>
          </cell>
          <cell r="BN133" t="str">
            <v>HED</v>
          </cell>
          <cell r="BQ133">
            <v>3</v>
          </cell>
          <cell r="BR133" t="str">
            <v>HED</v>
          </cell>
          <cell r="BU133">
            <v>7</v>
          </cell>
          <cell r="BV133" t="str">
            <v>HEFD</v>
          </cell>
          <cell r="BW133">
            <v>1</v>
          </cell>
          <cell r="BX133" t="str">
            <v>HED</v>
          </cell>
          <cell r="BY133">
            <v>1</v>
          </cell>
          <cell r="BZ133" t="str">
            <v>HED</v>
          </cell>
          <cell r="CA133">
            <v>1</v>
          </cell>
          <cell r="CB133" t="str">
            <v>HED</v>
          </cell>
          <cell r="CE133">
            <v>5</v>
          </cell>
          <cell r="CF133" t="str">
            <v>HED</v>
          </cell>
          <cell r="CI133">
            <v>1</v>
          </cell>
          <cell r="CJ133" t="str">
            <v>HED</v>
          </cell>
          <cell r="CK133">
            <v>1</v>
          </cell>
          <cell r="CL133" t="str">
            <v>HED</v>
          </cell>
          <cell r="CM133">
            <v>1</v>
          </cell>
          <cell r="CN133" t="str">
            <v>HED</v>
          </cell>
          <cell r="CO133">
            <v>1</v>
          </cell>
          <cell r="CP133" t="str">
            <v>HED</v>
          </cell>
          <cell r="CQ133">
            <v>1</v>
          </cell>
          <cell r="CR133" t="str">
            <v>HED</v>
          </cell>
          <cell r="CS133">
            <v>2</v>
          </cell>
          <cell r="CT133" t="str">
            <v>HED</v>
          </cell>
        </row>
        <row r="134">
          <cell r="A134">
            <v>120</v>
          </cell>
          <cell r="B134">
            <v>39564228</v>
          </cell>
          <cell r="C134" t="str">
            <v>LAGUNA ROJAS CONSUELO</v>
          </cell>
          <cell r="D134" t="str">
            <v>BOGOTA</v>
          </cell>
          <cell r="E134">
            <v>2002</v>
          </cell>
          <cell r="F134">
            <v>2</v>
          </cell>
          <cell r="G134" t="str">
            <v>TALENTO HUMANO</v>
          </cell>
          <cell r="I134">
            <v>550000</v>
          </cell>
        </row>
        <row r="135">
          <cell r="A135">
            <v>121</v>
          </cell>
          <cell r="B135">
            <v>5822121</v>
          </cell>
          <cell r="C135" t="str">
            <v>LEGUIZAMO MARTINEZ DIEGO ALEJANDRO</v>
          </cell>
          <cell r="D135" t="str">
            <v>BOGOTA</v>
          </cell>
          <cell r="E135">
            <v>2006</v>
          </cell>
          <cell r="F135">
            <v>2</v>
          </cell>
          <cell r="G135" t="str">
            <v>INGENIERIA OPERATIVO</v>
          </cell>
          <cell r="I135">
            <v>1400000</v>
          </cell>
        </row>
        <row r="136">
          <cell r="A136">
            <v>122</v>
          </cell>
          <cell r="B136">
            <v>80863526</v>
          </cell>
          <cell r="C136" t="str">
            <v>LEITON MENDEZ DIEGO FERNANDO</v>
          </cell>
          <cell r="D136" t="str">
            <v>BOGOTA</v>
          </cell>
          <cell r="E136">
            <v>2005</v>
          </cell>
          <cell r="F136">
            <v>2</v>
          </cell>
          <cell r="G136" t="str">
            <v>SERVICIOS OPERATIVO</v>
          </cell>
          <cell r="H136" t="str">
            <v>JUNIO-JULIO</v>
          </cell>
          <cell r="I136">
            <v>590000</v>
          </cell>
          <cell r="BA136">
            <v>2</v>
          </cell>
          <cell r="BB136" t="str">
            <v>HED</v>
          </cell>
          <cell r="BG136">
            <v>4</v>
          </cell>
          <cell r="BH136" t="str">
            <v>HEN</v>
          </cell>
          <cell r="BI136">
            <v>5</v>
          </cell>
          <cell r="BJ136" t="str">
            <v>HED</v>
          </cell>
          <cell r="BK136">
            <v>5</v>
          </cell>
          <cell r="BL136" t="str">
            <v>HED</v>
          </cell>
          <cell r="BM136">
            <v>5</v>
          </cell>
          <cell r="BN136" t="str">
            <v>HED</v>
          </cell>
          <cell r="CA136">
            <v>2</v>
          </cell>
          <cell r="CB136" t="str">
            <v>HED</v>
          </cell>
          <cell r="CC136">
            <v>2</v>
          </cell>
          <cell r="CD136" t="str">
            <v>HED</v>
          </cell>
        </row>
        <row r="137">
          <cell r="A137">
            <v>123</v>
          </cell>
          <cell r="B137">
            <v>71213765</v>
          </cell>
          <cell r="C137" t="str">
            <v>LEMA MIGUEL JAIME MARIO</v>
          </cell>
          <cell r="D137" t="str">
            <v>MEDELLIN</v>
          </cell>
          <cell r="E137">
            <v>2100</v>
          </cell>
          <cell r="F137">
            <v>114</v>
          </cell>
          <cell r="G137" t="str">
            <v>PARQUE EXPLORA</v>
          </cell>
          <cell r="H137" t="str">
            <v>JUNIO-JULIO</v>
          </cell>
          <cell r="I137">
            <v>464000</v>
          </cell>
          <cell r="AO137">
            <v>1</v>
          </cell>
          <cell r="AP137" t="str">
            <v>HED</v>
          </cell>
          <cell r="CE137">
            <v>4</v>
          </cell>
          <cell r="CF137" t="str">
            <v>HED</v>
          </cell>
          <cell r="CS137">
            <v>4</v>
          </cell>
          <cell r="CT137" t="str">
            <v>HED</v>
          </cell>
          <cell r="CU137">
            <v>8</v>
          </cell>
          <cell r="CV137" t="str">
            <v>HEFD</v>
          </cell>
        </row>
        <row r="138">
          <cell r="A138">
            <v>124</v>
          </cell>
          <cell r="B138">
            <v>8684903</v>
          </cell>
          <cell r="C138" t="str">
            <v>LEON CAMARGO JOSE ALCIBIADES</v>
          </cell>
          <cell r="D138" t="str">
            <v>CERREJON</v>
          </cell>
          <cell r="E138">
            <v>1041</v>
          </cell>
          <cell r="F138">
            <v>4</v>
          </cell>
          <cell r="G138" t="str">
            <v>MINA</v>
          </cell>
          <cell r="I138">
            <v>810000</v>
          </cell>
        </row>
        <row r="139">
          <cell r="A139">
            <v>125</v>
          </cell>
          <cell r="B139">
            <v>73123339</v>
          </cell>
          <cell r="C139" t="str">
            <v>LICONA AVILA ELIAS MOISES</v>
          </cell>
          <cell r="D139" t="str">
            <v>CERREJON</v>
          </cell>
          <cell r="E139">
            <v>1041</v>
          </cell>
          <cell r="F139">
            <v>4</v>
          </cell>
          <cell r="G139" t="str">
            <v>MINA</v>
          </cell>
          <cell r="I139">
            <v>930000</v>
          </cell>
        </row>
        <row r="140">
          <cell r="A140">
            <v>126</v>
          </cell>
          <cell r="B140">
            <v>79811219</v>
          </cell>
          <cell r="C140" t="str">
            <v>LOPEZ ARGUELLO JOSE</v>
          </cell>
          <cell r="D140" t="str">
            <v>BOGOTA</v>
          </cell>
          <cell r="E140">
            <v>2100</v>
          </cell>
          <cell r="F140">
            <v>11</v>
          </cell>
          <cell r="G140" t="str">
            <v>SANITAS</v>
          </cell>
          <cell r="H140" t="str">
            <v>JUNIO-JULIO</v>
          </cell>
          <cell r="I140">
            <v>433700</v>
          </cell>
          <cell r="AU140">
            <v>1</v>
          </cell>
          <cell r="AV140" t="str">
            <v>HED</v>
          </cell>
          <cell r="AW140">
            <v>1</v>
          </cell>
          <cell r="AX140" t="str">
            <v>HED</v>
          </cell>
          <cell r="BC140">
            <v>6</v>
          </cell>
          <cell r="BD140" t="str">
            <v>HED</v>
          </cell>
          <cell r="BE140">
            <v>6</v>
          </cell>
          <cell r="BF140" t="str">
            <v>HEFD</v>
          </cell>
          <cell r="BG140">
            <v>1</v>
          </cell>
          <cell r="BH140" t="str">
            <v>HED</v>
          </cell>
          <cell r="BI140">
            <v>1</v>
          </cell>
          <cell r="BJ140" t="str">
            <v>HED</v>
          </cell>
          <cell r="CA140">
            <v>1</v>
          </cell>
          <cell r="CB140" t="str">
            <v>HED</v>
          </cell>
          <cell r="CC140">
            <v>1</v>
          </cell>
          <cell r="CD140" t="str">
            <v>HED</v>
          </cell>
          <cell r="CE140">
            <v>7</v>
          </cell>
          <cell r="CF140" t="str">
            <v>HED</v>
          </cell>
          <cell r="CK140">
            <v>1</v>
          </cell>
          <cell r="CL140" t="str">
            <v>HED</v>
          </cell>
          <cell r="CM140">
            <v>1</v>
          </cell>
          <cell r="CN140" t="str">
            <v>HED</v>
          </cell>
          <cell r="CO140">
            <v>1</v>
          </cell>
          <cell r="CP140" t="str">
            <v>HED</v>
          </cell>
          <cell r="CQ140">
            <v>2</v>
          </cell>
          <cell r="CR140" t="str">
            <v>HED</v>
          </cell>
        </row>
        <row r="141">
          <cell r="A141">
            <v>127</v>
          </cell>
          <cell r="B141">
            <v>52374727</v>
          </cell>
          <cell r="C141" t="str">
            <v>LOPEZ DIAZ SONIA IVON</v>
          </cell>
          <cell r="D141" t="str">
            <v>BOGOTA</v>
          </cell>
          <cell r="E141">
            <v>2006</v>
          </cell>
          <cell r="F141">
            <v>2</v>
          </cell>
          <cell r="G141" t="str">
            <v>INGENIERIA OPERATIVO</v>
          </cell>
          <cell r="I141">
            <v>700000</v>
          </cell>
        </row>
        <row r="142">
          <cell r="A142">
            <v>128</v>
          </cell>
          <cell r="B142">
            <v>79116956</v>
          </cell>
          <cell r="C142" t="str">
            <v>LOPEZ ORJUELA CARLOS EDUARDO</v>
          </cell>
          <cell r="D142" t="str">
            <v>CASANARE</v>
          </cell>
          <cell r="E142">
            <v>2041</v>
          </cell>
          <cell r="F142">
            <v>2</v>
          </cell>
          <cell r="G142" t="str">
            <v>CUSIANA</v>
          </cell>
          <cell r="I142">
            <v>861370</v>
          </cell>
        </row>
        <row r="143">
          <cell r="A143">
            <v>129</v>
          </cell>
          <cell r="B143">
            <v>72220498</v>
          </cell>
          <cell r="C143" t="str">
            <v>LUENGAS RINCON JOHN  JAIRO</v>
          </cell>
          <cell r="D143" t="str">
            <v>CERREJON</v>
          </cell>
          <cell r="E143">
            <v>1041</v>
          </cell>
          <cell r="F143">
            <v>4</v>
          </cell>
          <cell r="G143" t="str">
            <v>MINA</v>
          </cell>
          <cell r="I143">
            <v>772000</v>
          </cell>
        </row>
        <row r="144">
          <cell r="A144">
            <v>130</v>
          </cell>
          <cell r="B144">
            <v>11316951</v>
          </cell>
          <cell r="C144" t="str">
            <v>LUGO DURAN OSCAR YESID</v>
          </cell>
          <cell r="D144" t="str">
            <v>BOGOTA</v>
          </cell>
          <cell r="E144">
            <v>2100</v>
          </cell>
          <cell r="F144">
            <v>124</v>
          </cell>
          <cell r="G144" t="str">
            <v>HITOS TORRE</v>
          </cell>
          <cell r="I144">
            <v>1800000</v>
          </cell>
        </row>
        <row r="145">
          <cell r="A145">
            <v>131</v>
          </cell>
          <cell r="B145">
            <v>55221878</v>
          </cell>
          <cell r="C145" t="str">
            <v>MALAGON VARGAS ISIS JOHANA</v>
          </cell>
          <cell r="D145" t="str">
            <v>CERREJON</v>
          </cell>
          <cell r="E145">
            <v>1041</v>
          </cell>
          <cell r="F145">
            <v>3</v>
          </cell>
          <cell r="G145" t="str">
            <v>MINA</v>
          </cell>
          <cell r="I145">
            <v>850000</v>
          </cell>
        </row>
        <row r="146">
          <cell r="A146">
            <v>132</v>
          </cell>
          <cell r="B146">
            <v>46357165</v>
          </cell>
          <cell r="C146" t="str">
            <v>MARQUEZ PENA LUZ MERY</v>
          </cell>
          <cell r="D146" t="str">
            <v>BOGOTA</v>
          </cell>
          <cell r="E146">
            <v>2001</v>
          </cell>
          <cell r="F146">
            <v>5</v>
          </cell>
          <cell r="G146" t="str">
            <v>GERENCIA FINANCIERA</v>
          </cell>
          <cell r="I146">
            <v>650000</v>
          </cell>
        </row>
        <row r="147">
          <cell r="A147">
            <v>133</v>
          </cell>
          <cell r="B147">
            <v>80147470</v>
          </cell>
          <cell r="C147" t="str">
            <v>MARTINEZ ANGARITA MARCO ANTONIO</v>
          </cell>
          <cell r="D147" t="str">
            <v>BOGOTA</v>
          </cell>
          <cell r="E147">
            <v>2004</v>
          </cell>
          <cell r="F147">
            <v>5</v>
          </cell>
          <cell r="G147" t="str">
            <v>PLANTA</v>
          </cell>
          <cell r="H147" t="str">
            <v>JUNIO-JULIO</v>
          </cell>
          <cell r="I147">
            <v>433700</v>
          </cell>
          <cell r="AE147">
            <v>9</v>
          </cell>
          <cell r="AF147" t="str">
            <v>HEFD</v>
          </cell>
          <cell r="AG147">
            <v>1</v>
          </cell>
          <cell r="AH147" t="str">
            <v>HED</v>
          </cell>
          <cell r="AI147">
            <v>1</v>
          </cell>
          <cell r="AJ147" t="str">
            <v>HED</v>
          </cell>
          <cell r="AK147">
            <v>1</v>
          </cell>
          <cell r="AL147" t="str">
            <v>HED</v>
          </cell>
          <cell r="AO147">
            <v>1</v>
          </cell>
          <cell r="AP147" t="str">
            <v>HED</v>
          </cell>
          <cell r="AU147">
            <v>1</v>
          </cell>
          <cell r="AV147" t="str">
            <v>HED</v>
          </cell>
          <cell r="AY147">
            <v>1</v>
          </cell>
          <cell r="AZ147" t="str">
            <v>HED</v>
          </cell>
        </row>
        <row r="148">
          <cell r="A148">
            <v>134</v>
          </cell>
          <cell r="B148">
            <v>1129538974</v>
          </cell>
          <cell r="C148" t="str">
            <v>MARTINEZ BUELVAS MARCELA MARIA</v>
          </cell>
          <cell r="D148" t="str">
            <v>BARRANQUILLA</v>
          </cell>
          <cell r="E148">
            <v>2002</v>
          </cell>
          <cell r="F148">
            <v>3</v>
          </cell>
          <cell r="I148">
            <v>433700</v>
          </cell>
        </row>
        <row r="149">
          <cell r="A149">
            <v>135</v>
          </cell>
          <cell r="B149">
            <v>19495309</v>
          </cell>
          <cell r="C149" t="str">
            <v>MARTINEZ BUSTOS JOSE OLINTO</v>
          </cell>
          <cell r="D149" t="str">
            <v>BOGOTA</v>
          </cell>
          <cell r="E149">
            <v>2100</v>
          </cell>
          <cell r="F149">
            <v>79</v>
          </cell>
          <cell r="G149" t="str">
            <v>UNIANDES</v>
          </cell>
          <cell r="H149" t="str">
            <v>JUNIO-JULIO</v>
          </cell>
          <cell r="I149">
            <v>470000</v>
          </cell>
          <cell r="AU149">
            <v>1</v>
          </cell>
          <cell r="AV149" t="str">
            <v>HED</v>
          </cell>
          <cell r="AW149">
            <v>1</v>
          </cell>
          <cell r="AX149" t="str">
            <v>HED</v>
          </cell>
          <cell r="BA149">
            <v>3</v>
          </cell>
          <cell r="BB149" t="str">
            <v>HED</v>
          </cell>
          <cell r="BC149">
            <v>6</v>
          </cell>
          <cell r="BD149" t="str">
            <v>HED</v>
          </cell>
          <cell r="BE149">
            <v>6</v>
          </cell>
          <cell r="BF149" t="str">
            <v>HED</v>
          </cell>
          <cell r="BK149">
            <v>1</v>
          </cell>
          <cell r="BL149" t="str">
            <v>HED</v>
          </cell>
          <cell r="BQ149">
            <v>5</v>
          </cell>
          <cell r="BR149" t="str">
            <v>HED</v>
          </cell>
          <cell r="BY149">
            <v>1</v>
          </cell>
          <cell r="BZ149" t="str">
            <v>HED</v>
          </cell>
          <cell r="CE149">
            <v>6</v>
          </cell>
          <cell r="CF149" t="str">
            <v>HED</v>
          </cell>
        </row>
        <row r="150">
          <cell r="A150">
            <v>136</v>
          </cell>
          <cell r="B150">
            <v>9655226</v>
          </cell>
          <cell r="C150" t="str">
            <v>MARTINEZ HERNANDEZ ORLANDO</v>
          </cell>
          <cell r="D150" t="str">
            <v>CASANARE</v>
          </cell>
          <cell r="E150">
            <v>2041</v>
          </cell>
          <cell r="F150">
            <v>14</v>
          </cell>
          <cell r="G150" t="str">
            <v>BASES MILITARES</v>
          </cell>
          <cell r="I150">
            <v>861370</v>
          </cell>
        </row>
        <row r="151">
          <cell r="A151">
            <v>137</v>
          </cell>
          <cell r="B151">
            <v>7312272</v>
          </cell>
          <cell r="C151" t="str">
            <v>MARTINEZ MARTINEZ MIGUEL ANGEL</v>
          </cell>
          <cell r="D151" t="str">
            <v>BOGOTA</v>
          </cell>
          <cell r="E151">
            <v>2100</v>
          </cell>
          <cell r="F151">
            <v>79</v>
          </cell>
          <cell r="G151" t="str">
            <v>UNIANDES</v>
          </cell>
          <cell r="H151" t="str">
            <v>JUNIO-JULIO</v>
          </cell>
          <cell r="I151">
            <v>433700</v>
          </cell>
          <cell r="BC151">
            <v>6</v>
          </cell>
          <cell r="BD151" t="str">
            <v>HED</v>
          </cell>
          <cell r="BE151">
            <v>6</v>
          </cell>
          <cell r="BF151" t="str">
            <v>HED</v>
          </cell>
          <cell r="BQ151">
            <v>5</v>
          </cell>
          <cell r="BR151" t="str">
            <v>HED</v>
          </cell>
          <cell r="CI151">
            <v>1</v>
          </cell>
          <cell r="CJ151" t="str">
            <v>HED</v>
          </cell>
          <cell r="CO151">
            <v>1</v>
          </cell>
          <cell r="CP151" t="str">
            <v>HED</v>
          </cell>
          <cell r="CS151">
            <v>6</v>
          </cell>
          <cell r="CT151" t="str">
            <v>HED</v>
          </cell>
        </row>
        <row r="152">
          <cell r="A152">
            <v>138</v>
          </cell>
          <cell r="B152">
            <v>84087465</v>
          </cell>
          <cell r="C152" t="str">
            <v>MEJIA BENJUMEA RUFINO ANTONIO</v>
          </cell>
          <cell r="D152" t="str">
            <v>CERREJON</v>
          </cell>
          <cell r="E152">
            <v>1041</v>
          </cell>
          <cell r="F152">
            <v>4</v>
          </cell>
          <cell r="G152" t="str">
            <v>MINA</v>
          </cell>
          <cell r="I152">
            <v>740000</v>
          </cell>
        </row>
        <row r="153">
          <cell r="A153">
            <v>139</v>
          </cell>
          <cell r="B153">
            <v>52422951</v>
          </cell>
          <cell r="C153" t="str">
            <v>MEJIA CHAUTA ZULMA YUDITH</v>
          </cell>
          <cell r="D153" t="str">
            <v>BOGOTA</v>
          </cell>
          <cell r="E153">
            <v>2008</v>
          </cell>
          <cell r="F153">
            <v>1</v>
          </cell>
          <cell r="G153" t="str">
            <v xml:space="preserve">CONTABILIDAD </v>
          </cell>
          <cell r="I153">
            <v>650000</v>
          </cell>
        </row>
        <row r="154">
          <cell r="A154">
            <v>140</v>
          </cell>
          <cell r="B154">
            <v>51974420</v>
          </cell>
          <cell r="C154" t="str">
            <v>MENDEZ BUITRAGO AMANDA</v>
          </cell>
          <cell r="D154" t="str">
            <v>BOGOTA</v>
          </cell>
          <cell r="E154">
            <v>2005</v>
          </cell>
          <cell r="F154">
            <v>1</v>
          </cell>
          <cell r="G154" t="str">
            <v>SERVICIOS ADMINISTRATIVO</v>
          </cell>
          <cell r="I154">
            <v>600000</v>
          </cell>
        </row>
        <row r="155">
          <cell r="A155">
            <v>141</v>
          </cell>
          <cell r="B155">
            <v>73268555</v>
          </cell>
          <cell r="C155" t="str">
            <v>MENDOZA ANDRADES RAFAEL ANTONIO</v>
          </cell>
          <cell r="D155" t="str">
            <v>BARRANQUILLA</v>
          </cell>
          <cell r="E155">
            <v>2100</v>
          </cell>
          <cell r="F155">
            <v>101</v>
          </cell>
          <cell r="I155">
            <v>490000</v>
          </cell>
        </row>
        <row r="156">
          <cell r="A156">
            <v>142</v>
          </cell>
          <cell r="B156">
            <v>18880431</v>
          </cell>
          <cell r="C156" t="str">
            <v>MENDOZA GUTIERREZ JAIRO</v>
          </cell>
          <cell r="D156" t="str">
            <v>BOGOTA</v>
          </cell>
          <cell r="E156">
            <v>2100</v>
          </cell>
          <cell r="F156">
            <v>79</v>
          </cell>
          <cell r="G156" t="str">
            <v>UNIANDES</v>
          </cell>
          <cell r="H156" t="str">
            <v>JUNIO-JULIO</v>
          </cell>
          <cell r="I156">
            <v>450000</v>
          </cell>
          <cell r="AU156">
            <v>1</v>
          </cell>
          <cell r="AV156" t="str">
            <v>HED</v>
          </cell>
          <cell r="AW156">
            <v>1</v>
          </cell>
          <cell r="AX156" t="str">
            <v>HED</v>
          </cell>
          <cell r="AY156">
            <v>1</v>
          </cell>
          <cell r="AZ156" t="str">
            <v>HED</v>
          </cell>
          <cell r="BC156">
            <v>6</v>
          </cell>
          <cell r="BD156" t="str">
            <v>HED</v>
          </cell>
          <cell r="BM156">
            <v>1</v>
          </cell>
          <cell r="BN156" t="str">
            <v>HED</v>
          </cell>
          <cell r="BQ156">
            <v>5</v>
          </cell>
          <cell r="BR156" t="str">
            <v>HED</v>
          </cell>
          <cell r="BY156">
            <v>1</v>
          </cell>
          <cell r="BZ156" t="str">
            <v>HED</v>
          </cell>
          <cell r="CE156">
            <v>6</v>
          </cell>
          <cell r="CF156" t="str">
            <v>HED</v>
          </cell>
          <cell r="CI156">
            <v>1</v>
          </cell>
          <cell r="CJ156" t="str">
            <v>HED</v>
          </cell>
          <cell r="CK156">
            <v>1</v>
          </cell>
          <cell r="CL156" t="str">
            <v>HED</v>
          </cell>
          <cell r="CM156">
            <v>1</v>
          </cell>
          <cell r="CN156" t="str">
            <v>HED</v>
          </cell>
          <cell r="CO156">
            <v>4</v>
          </cell>
          <cell r="CP156" t="str">
            <v>HED</v>
          </cell>
          <cell r="CQ156">
            <v>1</v>
          </cell>
          <cell r="CR156" t="str">
            <v>HED</v>
          </cell>
          <cell r="CS156">
            <v>5</v>
          </cell>
          <cell r="CT156" t="str">
            <v>HED</v>
          </cell>
        </row>
        <row r="157">
          <cell r="A157">
            <v>143</v>
          </cell>
          <cell r="B157">
            <v>51899501</v>
          </cell>
          <cell r="C157" t="str">
            <v>MENDOZA TORO EDNA RUBY</v>
          </cell>
          <cell r="D157" t="str">
            <v>BOGOTA</v>
          </cell>
          <cell r="E157">
            <v>2001</v>
          </cell>
          <cell r="F157">
            <v>1</v>
          </cell>
          <cell r="G157" t="str">
            <v>ALTA DIRECCION</v>
          </cell>
          <cell r="I157">
            <v>600000</v>
          </cell>
        </row>
        <row r="158">
          <cell r="A158">
            <v>144</v>
          </cell>
          <cell r="B158">
            <v>43265325</v>
          </cell>
          <cell r="C158" t="str">
            <v>MESA ACEVEDO VANESA ADRIANA</v>
          </cell>
          <cell r="D158" t="str">
            <v>MEDELLIN</v>
          </cell>
          <cell r="E158">
            <v>2002</v>
          </cell>
          <cell r="F158">
            <v>4</v>
          </cell>
          <cell r="G158" t="str">
            <v>ADMINISTRATIVA</v>
          </cell>
          <cell r="I158">
            <v>600000</v>
          </cell>
        </row>
        <row r="159">
          <cell r="A159">
            <v>145</v>
          </cell>
          <cell r="B159">
            <v>17952578</v>
          </cell>
          <cell r="C159" t="str">
            <v>MINDIOLA MARTINEZ ANGEL RAMIRO</v>
          </cell>
          <cell r="D159" t="str">
            <v>CERREJON</v>
          </cell>
          <cell r="E159">
            <v>1041</v>
          </cell>
          <cell r="F159">
            <v>4</v>
          </cell>
          <cell r="G159" t="str">
            <v>MINA</v>
          </cell>
          <cell r="I159">
            <v>810000</v>
          </cell>
        </row>
        <row r="160">
          <cell r="A160">
            <v>146</v>
          </cell>
          <cell r="B160">
            <v>72283100</v>
          </cell>
          <cell r="C160" t="str">
            <v>MIRANDA GUERRERO CARLOS ANDRES</v>
          </cell>
          <cell r="D160" t="str">
            <v>BARRANQUILLA</v>
          </cell>
          <cell r="E160">
            <v>1041</v>
          </cell>
          <cell r="F160">
            <v>4</v>
          </cell>
          <cell r="I160">
            <v>600000</v>
          </cell>
        </row>
        <row r="161">
          <cell r="A161">
            <v>147</v>
          </cell>
          <cell r="B161">
            <v>77000109</v>
          </cell>
          <cell r="C161" t="str">
            <v>MIRANDA GUTIERREZ LUCAS FRANCISCO</v>
          </cell>
          <cell r="D161" t="str">
            <v>BOGOTA</v>
          </cell>
          <cell r="E161">
            <v>2100</v>
          </cell>
          <cell r="F161">
            <v>11</v>
          </cell>
          <cell r="G161" t="str">
            <v>SANITAS</v>
          </cell>
          <cell r="H161" t="str">
            <v>JUNIO-JULIO</v>
          </cell>
          <cell r="I161">
            <v>450000</v>
          </cell>
          <cell r="AU161">
            <v>1</v>
          </cell>
          <cell r="AV161" t="str">
            <v>HED</v>
          </cell>
          <cell r="AW161">
            <v>1</v>
          </cell>
          <cell r="AX161" t="str">
            <v>HED</v>
          </cell>
          <cell r="BC161">
            <v>6</v>
          </cell>
          <cell r="BD161" t="str">
            <v>HED</v>
          </cell>
          <cell r="BE161">
            <v>6</v>
          </cell>
          <cell r="BF161" t="str">
            <v>HEFD</v>
          </cell>
          <cell r="BG161">
            <v>1</v>
          </cell>
          <cell r="BH161" t="str">
            <v>HED</v>
          </cell>
          <cell r="BI161">
            <v>1</v>
          </cell>
          <cell r="BJ161" t="str">
            <v>HED</v>
          </cell>
          <cell r="BQ161">
            <v>3</v>
          </cell>
          <cell r="BR161" t="str">
            <v>HED</v>
          </cell>
          <cell r="BS161">
            <v>6</v>
          </cell>
          <cell r="BT161" t="str">
            <v>HEFD</v>
          </cell>
          <cell r="CC161">
            <v>1</v>
          </cell>
          <cell r="CD161" t="str">
            <v>HED</v>
          </cell>
          <cell r="CE161">
            <v>7</v>
          </cell>
          <cell r="CF161" t="str">
            <v>HED</v>
          </cell>
          <cell r="CK161">
            <v>1</v>
          </cell>
          <cell r="CL161" t="str">
            <v>HED</v>
          </cell>
          <cell r="CM161">
            <v>1</v>
          </cell>
          <cell r="CN161" t="str">
            <v>HED</v>
          </cell>
          <cell r="CO161">
            <v>1</v>
          </cell>
          <cell r="CP161" t="str">
            <v>HED</v>
          </cell>
          <cell r="CQ161">
            <v>2</v>
          </cell>
          <cell r="CR161" t="str">
            <v>HED</v>
          </cell>
        </row>
        <row r="162">
          <cell r="A162">
            <v>148</v>
          </cell>
          <cell r="B162">
            <v>1068348074</v>
          </cell>
          <cell r="C162" t="str">
            <v>MIRANDA GUTIERREZ LUIS ALBERTO</v>
          </cell>
          <cell r="D162" t="str">
            <v>BOGOTA</v>
          </cell>
          <cell r="E162">
            <v>2100</v>
          </cell>
          <cell r="F162">
            <v>79</v>
          </cell>
          <cell r="G162" t="str">
            <v>UNIANDES</v>
          </cell>
          <cell r="I162">
            <v>433700</v>
          </cell>
        </row>
        <row r="163">
          <cell r="A163">
            <v>149</v>
          </cell>
          <cell r="B163">
            <v>77101409</v>
          </cell>
          <cell r="C163" t="str">
            <v>MIRANDA MARTINEZ LUCAS EVANGELISTA</v>
          </cell>
          <cell r="D163" t="str">
            <v>BOGOTA</v>
          </cell>
          <cell r="E163">
            <v>2100</v>
          </cell>
          <cell r="F163">
            <v>79</v>
          </cell>
          <cell r="G163" t="str">
            <v>UNIANDES</v>
          </cell>
          <cell r="H163" t="str">
            <v>JUNIO-JULIO</v>
          </cell>
          <cell r="I163">
            <v>433700</v>
          </cell>
          <cell r="AU163">
            <v>1</v>
          </cell>
          <cell r="AV163" t="str">
            <v>HED</v>
          </cell>
          <cell r="AY163">
            <v>1</v>
          </cell>
          <cell r="AZ163" t="str">
            <v>HED</v>
          </cell>
          <cell r="BC163">
            <v>2</v>
          </cell>
          <cell r="BD163" t="str">
            <v>HED</v>
          </cell>
          <cell r="CE163">
            <v>6</v>
          </cell>
          <cell r="CF163" t="str">
            <v>HED</v>
          </cell>
          <cell r="CI163">
            <v>1</v>
          </cell>
          <cell r="CJ163" t="str">
            <v>HED</v>
          </cell>
          <cell r="CK163">
            <v>4</v>
          </cell>
          <cell r="CL163" t="str">
            <v>HED</v>
          </cell>
        </row>
        <row r="164">
          <cell r="A164">
            <v>150</v>
          </cell>
          <cell r="B164">
            <v>72281596</v>
          </cell>
          <cell r="C164" t="str">
            <v>MOLINA CUADRO ALVARO JUNIOR</v>
          </cell>
          <cell r="D164" t="str">
            <v>BARRANQUILLA</v>
          </cell>
          <cell r="E164">
            <v>2004</v>
          </cell>
          <cell r="F164">
            <v>2</v>
          </cell>
          <cell r="I164">
            <v>868000</v>
          </cell>
        </row>
        <row r="165">
          <cell r="A165">
            <v>151</v>
          </cell>
          <cell r="B165">
            <v>41758625</v>
          </cell>
          <cell r="C165" t="str">
            <v>MOLINA DE ALFARO NUBIA ELIZABETH DEL PILAR</v>
          </cell>
          <cell r="D165" t="str">
            <v>BOGOTA</v>
          </cell>
          <cell r="E165">
            <v>2007</v>
          </cell>
          <cell r="F165">
            <v>1</v>
          </cell>
          <cell r="I165">
            <v>2700000</v>
          </cell>
        </row>
        <row r="166">
          <cell r="A166">
            <v>152</v>
          </cell>
          <cell r="B166">
            <v>72257334</v>
          </cell>
          <cell r="C166" t="str">
            <v>MONDRAGON PALENCIA DAVID ANDRES</v>
          </cell>
          <cell r="D166" t="str">
            <v>BOGOTA</v>
          </cell>
          <cell r="E166">
            <v>2005</v>
          </cell>
          <cell r="F166">
            <v>1</v>
          </cell>
          <cell r="G166" t="str">
            <v>SERVICIOS ADMINISTRATIVO</v>
          </cell>
          <cell r="I166">
            <v>1200000</v>
          </cell>
        </row>
        <row r="167">
          <cell r="A167">
            <v>153</v>
          </cell>
          <cell r="B167">
            <v>91477892</v>
          </cell>
          <cell r="C167" t="str">
            <v>MONSALVE CELIS OMAR</v>
          </cell>
          <cell r="D167" t="str">
            <v>CASANARE</v>
          </cell>
          <cell r="E167">
            <v>2041</v>
          </cell>
          <cell r="F167">
            <v>14</v>
          </cell>
          <cell r="G167" t="str">
            <v>BASES MILITARES</v>
          </cell>
          <cell r="I167">
            <v>1617000</v>
          </cell>
        </row>
        <row r="168">
          <cell r="A168">
            <v>154</v>
          </cell>
          <cell r="B168">
            <v>72257461</v>
          </cell>
          <cell r="C168" t="str">
            <v>MONSERAT CORTEZ JAVIER ALEJANDRO</v>
          </cell>
          <cell r="D168" t="str">
            <v>BARRANQUILLA</v>
          </cell>
          <cell r="E168">
            <v>1100</v>
          </cell>
          <cell r="F168">
            <v>88</v>
          </cell>
          <cell r="I168">
            <v>500000</v>
          </cell>
        </row>
        <row r="169">
          <cell r="A169">
            <v>155</v>
          </cell>
          <cell r="B169">
            <v>11517265</v>
          </cell>
          <cell r="C169" t="str">
            <v>MONTENEGRO CUBILLOS CARLOS ALFONSO</v>
          </cell>
          <cell r="D169" t="str">
            <v>BOGOTA</v>
          </cell>
          <cell r="E169">
            <v>2004</v>
          </cell>
          <cell r="F169">
            <v>5</v>
          </cell>
          <cell r="G169" t="str">
            <v>PLANTA</v>
          </cell>
          <cell r="H169" t="str">
            <v>JUNIO-JULIO</v>
          </cell>
          <cell r="I169">
            <v>520000</v>
          </cell>
          <cell r="AU169">
            <v>1</v>
          </cell>
          <cell r="AV169" t="str">
            <v>HED</v>
          </cell>
          <cell r="CK169">
            <v>2</v>
          </cell>
          <cell r="CL169" t="str">
            <v>HED</v>
          </cell>
        </row>
        <row r="170">
          <cell r="A170">
            <v>156</v>
          </cell>
          <cell r="B170">
            <v>72277992</v>
          </cell>
          <cell r="C170" t="str">
            <v>MONTERROZA LUNA HERNAN ALBERTO</v>
          </cell>
          <cell r="D170" t="str">
            <v>BARRANQUILLA</v>
          </cell>
          <cell r="E170">
            <v>1071</v>
          </cell>
          <cell r="F170">
            <v>27</v>
          </cell>
          <cell r="I170">
            <v>560000</v>
          </cell>
        </row>
        <row r="171">
          <cell r="A171">
            <v>157</v>
          </cell>
          <cell r="B171">
            <v>1128390027</v>
          </cell>
          <cell r="C171" t="str">
            <v>MONTOYA CASTRILLON  JUAN SEBASTIAN</v>
          </cell>
          <cell r="D171" t="str">
            <v>MEDELLIN</v>
          </cell>
          <cell r="E171">
            <v>2100</v>
          </cell>
          <cell r="F171">
            <v>114</v>
          </cell>
          <cell r="G171" t="str">
            <v>PANAMERICANA</v>
          </cell>
          <cell r="H171" t="str">
            <v>JUNIO-JULIO</v>
          </cell>
          <cell r="I171">
            <v>433700</v>
          </cell>
          <cell r="AK171">
            <v>4</v>
          </cell>
          <cell r="AL171" t="str">
            <v>HED</v>
          </cell>
          <cell r="AM171">
            <v>1</v>
          </cell>
          <cell r="AN171" t="str">
            <v>HED</v>
          </cell>
          <cell r="AO171">
            <v>1</v>
          </cell>
          <cell r="AP171" t="str">
            <v>HED</v>
          </cell>
        </row>
        <row r="172">
          <cell r="A172">
            <v>158</v>
          </cell>
          <cell r="B172">
            <v>6872970</v>
          </cell>
          <cell r="C172" t="str">
            <v>MORA ALVAREZ DARIO DE JESUS</v>
          </cell>
          <cell r="D172" t="str">
            <v>MEDELLIN</v>
          </cell>
          <cell r="E172">
            <v>2100</v>
          </cell>
          <cell r="F172">
            <v>114</v>
          </cell>
          <cell r="G172" t="str">
            <v>PARQUE EXPLORA</v>
          </cell>
          <cell r="H172" t="str">
            <v>JUNIO-JULIO</v>
          </cell>
          <cell r="I172">
            <v>433700</v>
          </cell>
          <cell r="AO172">
            <v>1</v>
          </cell>
          <cell r="AP172" t="str">
            <v>HED</v>
          </cell>
          <cell r="AQ172">
            <v>5</v>
          </cell>
          <cell r="AR172" t="str">
            <v>HEFD</v>
          </cell>
          <cell r="BS172">
            <v>8</v>
          </cell>
          <cell r="BT172" t="str">
            <v>HEFD</v>
          </cell>
          <cell r="CE172">
            <v>4</v>
          </cell>
          <cell r="CF172" t="str">
            <v>HED</v>
          </cell>
          <cell r="CS172">
            <v>4</v>
          </cell>
          <cell r="CT172" t="str">
            <v>HED</v>
          </cell>
          <cell r="CU172">
            <v>8</v>
          </cell>
          <cell r="CV172" t="str">
            <v>HEFD</v>
          </cell>
        </row>
        <row r="173">
          <cell r="A173">
            <v>159</v>
          </cell>
          <cell r="B173">
            <v>1019013681</v>
          </cell>
          <cell r="C173" t="str">
            <v>MORA DURAN JORGE ANDRES</v>
          </cell>
          <cell r="D173" t="str">
            <v>BOGOTA</v>
          </cell>
          <cell r="E173">
            <v>2006</v>
          </cell>
          <cell r="F173">
            <v>2</v>
          </cell>
          <cell r="G173" t="str">
            <v>INGENIERIA</v>
          </cell>
          <cell r="I173">
            <v>433700</v>
          </cell>
        </row>
        <row r="174">
          <cell r="A174">
            <v>160</v>
          </cell>
          <cell r="B174">
            <v>8736978</v>
          </cell>
          <cell r="C174" t="str">
            <v>MULFORD JIMENEZ WILSON MATIAS</v>
          </cell>
          <cell r="D174" t="str">
            <v>BARRANQUILLA</v>
          </cell>
          <cell r="E174">
            <v>2005</v>
          </cell>
          <cell r="F174">
            <v>4</v>
          </cell>
          <cell r="I174">
            <v>560000</v>
          </cell>
        </row>
        <row r="175">
          <cell r="A175">
            <v>161</v>
          </cell>
          <cell r="B175">
            <v>71766525</v>
          </cell>
          <cell r="C175" t="str">
            <v>MUNOZ TASCON JOHN ALEXANDER</v>
          </cell>
          <cell r="D175" t="str">
            <v>MEDELLIN</v>
          </cell>
          <cell r="E175">
            <v>2100</v>
          </cell>
          <cell r="F175">
            <v>103</v>
          </cell>
          <cell r="G175" t="str">
            <v xml:space="preserve">CLINICA CRUZ BLANCA </v>
          </cell>
          <cell r="H175" t="str">
            <v>JUNIO-JULIO</v>
          </cell>
          <cell r="I175">
            <v>500000</v>
          </cell>
        </row>
        <row r="176">
          <cell r="A176">
            <v>162</v>
          </cell>
          <cell r="B176">
            <v>71740915</v>
          </cell>
          <cell r="C176" t="str">
            <v>MURILLO CASTRILLON JODE EDUARDO</v>
          </cell>
          <cell r="D176" t="str">
            <v>MEDELLIN</v>
          </cell>
          <cell r="E176">
            <v>2100</v>
          </cell>
          <cell r="F176">
            <v>114</v>
          </cell>
          <cell r="G176" t="str">
            <v>PANAMERICANA</v>
          </cell>
          <cell r="H176" t="str">
            <v>JUNIO-JULIO</v>
          </cell>
          <cell r="I176">
            <v>433700</v>
          </cell>
          <cell r="AM176">
            <v>1</v>
          </cell>
          <cell r="AN176" t="str">
            <v>HED</v>
          </cell>
          <cell r="AO176">
            <v>1</v>
          </cell>
          <cell r="AP176" t="str">
            <v>HED</v>
          </cell>
        </row>
        <row r="177">
          <cell r="A177">
            <v>163</v>
          </cell>
          <cell r="B177">
            <v>8791373</v>
          </cell>
          <cell r="C177" t="str">
            <v>NAVARRO CARRILLO HERNANDO RAFAEL</v>
          </cell>
          <cell r="D177" t="str">
            <v>CERREJON</v>
          </cell>
          <cell r="E177">
            <v>1041</v>
          </cell>
          <cell r="F177">
            <v>4</v>
          </cell>
          <cell r="G177" t="str">
            <v>MINA</v>
          </cell>
          <cell r="I177">
            <v>650000</v>
          </cell>
        </row>
        <row r="178">
          <cell r="A178">
            <v>164</v>
          </cell>
          <cell r="B178">
            <v>4184213</v>
          </cell>
          <cell r="C178" t="str">
            <v>NINO ASCENCIO ANGEL MARIA</v>
          </cell>
          <cell r="D178" t="str">
            <v>CASANARE</v>
          </cell>
          <cell r="E178">
            <v>2041</v>
          </cell>
          <cell r="F178">
            <v>14</v>
          </cell>
          <cell r="G178" t="str">
            <v>BASES MILITARES</v>
          </cell>
          <cell r="I178">
            <v>861370</v>
          </cell>
        </row>
        <row r="179">
          <cell r="A179">
            <v>165</v>
          </cell>
          <cell r="B179">
            <v>5153238</v>
          </cell>
          <cell r="C179" t="str">
            <v>OJEDA IGURARAN MILTON FRANCISCO</v>
          </cell>
          <cell r="D179" t="str">
            <v>CERREJON</v>
          </cell>
          <cell r="E179">
            <v>1041</v>
          </cell>
          <cell r="F179">
            <v>4</v>
          </cell>
          <cell r="G179" t="str">
            <v>MINA</v>
          </cell>
          <cell r="I179">
            <v>810000</v>
          </cell>
        </row>
        <row r="180">
          <cell r="A180">
            <v>166</v>
          </cell>
          <cell r="B180">
            <v>8674821</v>
          </cell>
          <cell r="C180" t="str">
            <v>OLMOS SARMIENTO ROBERTO ENRIQUE</v>
          </cell>
          <cell r="D180" t="str">
            <v>CERREJON</v>
          </cell>
          <cell r="E180">
            <v>1041</v>
          </cell>
          <cell r="F180">
            <v>4</v>
          </cell>
          <cell r="G180" t="str">
            <v>MINA</v>
          </cell>
          <cell r="I180">
            <v>740000</v>
          </cell>
        </row>
        <row r="181">
          <cell r="A181">
            <v>167</v>
          </cell>
          <cell r="B181">
            <v>5117748</v>
          </cell>
          <cell r="C181" t="str">
            <v>ORTIZ DIAZ JAVIER ENRIQUE</v>
          </cell>
          <cell r="D181" t="str">
            <v>BOGOTA</v>
          </cell>
          <cell r="E181">
            <v>2004</v>
          </cell>
          <cell r="F181">
            <v>5</v>
          </cell>
          <cell r="G181" t="str">
            <v>PLANTA</v>
          </cell>
          <cell r="H181" t="str">
            <v>JUNIO-JULIO</v>
          </cell>
          <cell r="I181">
            <v>520000</v>
          </cell>
          <cell r="AE181">
            <v>9</v>
          </cell>
          <cell r="AF181" t="str">
            <v>HEFD</v>
          </cell>
          <cell r="AG181">
            <v>1</v>
          </cell>
          <cell r="AH181" t="str">
            <v>HED</v>
          </cell>
          <cell r="AI181">
            <v>1</v>
          </cell>
          <cell r="AJ181" t="str">
            <v>HED</v>
          </cell>
          <cell r="AK181">
            <v>1</v>
          </cell>
          <cell r="AL181" t="str">
            <v>HED</v>
          </cell>
          <cell r="AO181">
            <v>1</v>
          </cell>
          <cell r="AP181" t="str">
            <v>HED</v>
          </cell>
          <cell r="AU181">
            <v>1</v>
          </cell>
          <cell r="AV181" t="str">
            <v>HED</v>
          </cell>
          <cell r="BK181">
            <v>1</v>
          </cell>
          <cell r="BL181" t="str">
            <v>HED</v>
          </cell>
          <cell r="CK181">
            <v>2</v>
          </cell>
          <cell r="CL181" t="str">
            <v>HED</v>
          </cell>
          <cell r="CQ181">
            <v>1</v>
          </cell>
          <cell r="CR181" t="str">
            <v>HED</v>
          </cell>
        </row>
        <row r="182">
          <cell r="A182">
            <v>168</v>
          </cell>
          <cell r="B182">
            <v>5159859</v>
          </cell>
          <cell r="C182" t="str">
            <v xml:space="preserve">OSORIO WILFRIDO AMBER </v>
          </cell>
          <cell r="D182" t="str">
            <v>CERREJON</v>
          </cell>
          <cell r="E182">
            <v>1041</v>
          </cell>
          <cell r="F182">
            <v>3</v>
          </cell>
          <cell r="G182" t="str">
            <v>MINA</v>
          </cell>
          <cell r="I182">
            <v>700000</v>
          </cell>
        </row>
        <row r="183">
          <cell r="A183">
            <v>169</v>
          </cell>
          <cell r="B183">
            <v>73169258</v>
          </cell>
          <cell r="C183" t="str">
            <v>OSPINA DAZA ROBERTO CARLOS</v>
          </cell>
          <cell r="D183" t="str">
            <v>BARRANQUILLA</v>
          </cell>
          <cell r="E183">
            <v>2003</v>
          </cell>
          <cell r="F183">
            <v>2</v>
          </cell>
          <cell r="I183">
            <v>2500000</v>
          </cell>
        </row>
        <row r="184">
          <cell r="A184">
            <v>170</v>
          </cell>
          <cell r="B184">
            <v>80921552</v>
          </cell>
          <cell r="C184" t="str">
            <v>PARRA MONTILLA JOHN FREDY</v>
          </cell>
          <cell r="D184" t="str">
            <v>BOGOTA</v>
          </cell>
          <cell r="E184">
            <v>2100</v>
          </cell>
          <cell r="F184">
            <v>79</v>
          </cell>
          <cell r="G184" t="str">
            <v>UNIANDES</v>
          </cell>
          <cell r="H184" t="str">
            <v>JUNIO-JULIO</v>
          </cell>
          <cell r="I184">
            <v>433700</v>
          </cell>
          <cell r="CC184">
            <v>1</v>
          </cell>
          <cell r="CD184" t="str">
            <v>HED</v>
          </cell>
          <cell r="CE184">
            <v>6</v>
          </cell>
          <cell r="CF184" t="str">
            <v>HED</v>
          </cell>
        </row>
        <row r="185">
          <cell r="A185">
            <v>171</v>
          </cell>
          <cell r="B185">
            <v>22468393</v>
          </cell>
          <cell r="C185" t="str">
            <v>PATERNINA DE LAS SALAS CARMEN JULIA</v>
          </cell>
          <cell r="D185" t="str">
            <v>BARRANQUILLA</v>
          </cell>
          <cell r="E185">
            <v>2100</v>
          </cell>
          <cell r="F185">
            <v>23</v>
          </cell>
          <cell r="I185">
            <v>817000</v>
          </cell>
        </row>
        <row r="186">
          <cell r="A186">
            <v>172</v>
          </cell>
          <cell r="B186">
            <v>81715451</v>
          </cell>
          <cell r="C186" t="str">
            <v>PATERNINA ORDOÑEZ LUIS CARLOS</v>
          </cell>
          <cell r="D186" t="str">
            <v>BOGOTA</v>
          </cell>
          <cell r="E186">
            <v>2006</v>
          </cell>
          <cell r="F186">
            <v>3</v>
          </cell>
          <cell r="G186" t="str">
            <v>PRESUPUESTOS</v>
          </cell>
          <cell r="I186">
            <v>600000</v>
          </cell>
        </row>
        <row r="187">
          <cell r="A187">
            <v>173</v>
          </cell>
          <cell r="B187">
            <v>79530136</v>
          </cell>
          <cell r="C187" t="str">
            <v>PEDREROS TENJICA JOSE GUSTAVO</v>
          </cell>
          <cell r="D187" t="str">
            <v>BOGOTA</v>
          </cell>
          <cell r="E187">
            <v>2100</v>
          </cell>
          <cell r="F187">
            <v>11</v>
          </cell>
          <cell r="G187" t="str">
            <v>SANITAS</v>
          </cell>
          <cell r="H187" t="str">
            <v>JUNIO-JULIO</v>
          </cell>
          <cell r="I187">
            <v>520000</v>
          </cell>
          <cell r="AU187">
            <v>1</v>
          </cell>
          <cell r="AV187" t="str">
            <v>HED</v>
          </cell>
          <cell r="AW187">
            <v>1</v>
          </cell>
          <cell r="AX187" t="str">
            <v>HED</v>
          </cell>
          <cell r="BC187">
            <v>6</v>
          </cell>
          <cell r="BD187" t="str">
            <v>HED</v>
          </cell>
          <cell r="BE187">
            <v>6</v>
          </cell>
          <cell r="BF187" t="str">
            <v>HEFD</v>
          </cell>
          <cell r="BG187">
            <v>1</v>
          </cell>
          <cell r="BH187" t="str">
            <v>HED</v>
          </cell>
          <cell r="BI187">
            <v>1</v>
          </cell>
          <cell r="BJ187" t="str">
            <v>HED</v>
          </cell>
          <cell r="BQ187">
            <v>3</v>
          </cell>
          <cell r="BR187" t="str">
            <v>HED</v>
          </cell>
          <cell r="BS187">
            <v>6</v>
          </cell>
          <cell r="BT187" t="str">
            <v>HEFD</v>
          </cell>
          <cell r="CC187">
            <v>1</v>
          </cell>
          <cell r="CD187" t="str">
            <v>HED</v>
          </cell>
          <cell r="CE187">
            <v>7</v>
          </cell>
          <cell r="CF187" t="str">
            <v>HED</v>
          </cell>
          <cell r="CK187">
            <v>1</v>
          </cell>
          <cell r="CL187" t="str">
            <v>HED</v>
          </cell>
          <cell r="CM187">
            <v>1</v>
          </cell>
          <cell r="CN187" t="str">
            <v>HED</v>
          </cell>
          <cell r="CO187">
            <v>1</v>
          </cell>
          <cell r="CP187" t="str">
            <v>HED</v>
          </cell>
          <cell r="CQ187">
            <v>2</v>
          </cell>
          <cell r="CR187" t="str">
            <v>HED</v>
          </cell>
        </row>
        <row r="188">
          <cell r="A188">
            <v>174</v>
          </cell>
          <cell r="B188">
            <v>52863625</v>
          </cell>
          <cell r="C188" t="str">
            <v>PENAGOS RAMIREZ MARIELA CONSTANZA</v>
          </cell>
          <cell r="D188" t="str">
            <v>BOGOTA</v>
          </cell>
          <cell r="E188">
            <v>2004</v>
          </cell>
          <cell r="F188">
            <v>1</v>
          </cell>
          <cell r="G188" t="str">
            <v>OBRAS ADMINISTRATIVO</v>
          </cell>
          <cell r="I188">
            <v>700000</v>
          </cell>
        </row>
        <row r="189">
          <cell r="A189">
            <v>175</v>
          </cell>
          <cell r="B189">
            <v>8567718</v>
          </cell>
          <cell r="C189" t="str">
            <v>PENA SANTIAGO JARRISON ALBERTO</v>
          </cell>
          <cell r="D189" t="str">
            <v>BARRANQUILLA</v>
          </cell>
          <cell r="E189">
            <v>2100</v>
          </cell>
          <cell r="F189">
            <v>101</v>
          </cell>
          <cell r="I189">
            <v>433700</v>
          </cell>
        </row>
        <row r="190">
          <cell r="A190">
            <v>176</v>
          </cell>
          <cell r="B190">
            <v>73579343</v>
          </cell>
          <cell r="C190" t="str">
            <v>PEREZ HERRERA FRANCISCO JAVIER</v>
          </cell>
          <cell r="D190" t="str">
            <v>BOGOTA</v>
          </cell>
          <cell r="E190">
            <v>2100</v>
          </cell>
          <cell r="F190">
            <v>120</v>
          </cell>
          <cell r="G190" t="str">
            <v>ACCENTO</v>
          </cell>
          <cell r="H190" t="str">
            <v>JUNIO-JULIO</v>
          </cell>
          <cell r="I190">
            <v>433700</v>
          </cell>
          <cell r="AU190">
            <v>1</v>
          </cell>
          <cell r="AV190" t="str">
            <v>HED</v>
          </cell>
          <cell r="AY190">
            <v>1</v>
          </cell>
          <cell r="AZ190" t="str">
            <v>HED</v>
          </cell>
        </row>
        <row r="191">
          <cell r="A191">
            <v>177</v>
          </cell>
          <cell r="B191">
            <v>79394123</v>
          </cell>
          <cell r="C191" t="str">
            <v>PEREZ ORTIZ FERNANDO</v>
          </cell>
          <cell r="D191" t="str">
            <v>BOGOTA</v>
          </cell>
          <cell r="E191">
            <v>2005</v>
          </cell>
          <cell r="F191">
            <v>2</v>
          </cell>
          <cell r="G191" t="str">
            <v>SERVICIOS OPERATIVO</v>
          </cell>
          <cell r="H191" t="str">
            <v>JUNIO-JULIO</v>
          </cell>
          <cell r="I191">
            <v>325275</v>
          </cell>
        </row>
        <row r="192">
          <cell r="A192">
            <v>178</v>
          </cell>
          <cell r="B192">
            <v>7590943</v>
          </cell>
          <cell r="C192" t="str">
            <v>PERTUZ POLO LIBARDO JOSE</v>
          </cell>
          <cell r="D192" t="str">
            <v>CERREJON</v>
          </cell>
          <cell r="E192">
            <v>1041</v>
          </cell>
          <cell r="F192">
            <v>4</v>
          </cell>
          <cell r="G192" t="str">
            <v>MINA</v>
          </cell>
          <cell r="I192">
            <v>930000</v>
          </cell>
        </row>
        <row r="193">
          <cell r="A193">
            <v>179</v>
          </cell>
          <cell r="B193">
            <v>72229765</v>
          </cell>
          <cell r="C193" t="str">
            <v>PICO HENRIQUEZ EFRAIN ANTONIO</v>
          </cell>
          <cell r="D193" t="str">
            <v>CERREJON</v>
          </cell>
          <cell r="E193">
            <v>1041</v>
          </cell>
          <cell r="F193">
            <v>4</v>
          </cell>
          <cell r="G193" t="str">
            <v>MINA</v>
          </cell>
          <cell r="I193">
            <v>650000</v>
          </cell>
        </row>
        <row r="194">
          <cell r="A194">
            <v>180</v>
          </cell>
          <cell r="B194">
            <v>13814387</v>
          </cell>
          <cell r="C194" t="str">
            <v>PINZON SEIJA RUBEN DARIO</v>
          </cell>
          <cell r="D194" t="str">
            <v>CASANARE</v>
          </cell>
          <cell r="E194">
            <v>2041</v>
          </cell>
          <cell r="F194">
            <v>2</v>
          </cell>
          <cell r="G194" t="str">
            <v>CUSIANA</v>
          </cell>
          <cell r="I194">
            <v>1108282</v>
          </cell>
        </row>
        <row r="195">
          <cell r="A195">
            <v>181</v>
          </cell>
          <cell r="B195">
            <v>72181618</v>
          </cell>
          <cell r="C195" t="str">
            <v>POLO VALLE GIOVANNY HERNAN</v>
          </cell>
          <cell r="D195" t="str">
            <v>CERREJON</v>
          </cell>
          <cell r="E195">
            <v>1041</v>
          </cell>
          <cell r="F195">
            <v>4</v>
          </cell>
          <cell r="G195" t="str">
            <v>MINA</v>
          </cell>
          <cell r="I195">
            <v>810000</v>
          </cell>
        </row>
        <row r="196">
          <cell r="A196">
            <v>182</v>
          </cell>
          <cell r="B196">
            <v>26666482</v>
          </cell>
          <cell r="C196" t="str">
            <v>PRADA MONSALVE GLORIA YANETH</v>
          </cell>
          <cell r="D196" t="str">
            <v>BOGOTA</v>
          </cell>
          <cell r="E196">
            <v>2002</v>
          </cell>
          <cell r="F196">
            <v>2</v>
          </cell>
          <cell r="G196" t="str">
            <v>TALENTO HUMANO</v>
          </cell>
          <cell r="I196">
            <v>1500000</v>
          </cell>
        </row>
        <row r="197">
          <cell r="A197">
            <v>183</v>
          </cell>
          <cell r="B197">
            <v>80732057</v>
          </cell>
          <cell r="C197" t="str">
            <v>PRIETO VILLAIZAN JEISON JAIRO</v>
          </cell>
          <cell r="D197" t="str">
            <v>BOGOTA</v>
          </cell>
          <cell r="E197">
            <v>2100</v>
          </cell>
          <cell r="F197">
            <v>11</v>
          </cell>
          <cell r="G197" t="str">
            <v>ICA</v>
          </cell>
          <cell r="H197" t="str">
            <v>JUNIO-JULIO</v>
          </cell>
          <cell r="I197">
            <v>433700</v>
          </cell>
          <cell r="BQ197">
            <v>1</v>
          </cell>
          <cell r="BR197" t="str">
            <v>HED</v>
          </cell>
          <cell r="BU197">
            <v>7</v>
          </cell>
          <cell r="BV197" t="str">
            <v>HEFD</v>
          </cell>
          <cell r="BW197">
            <v>1</v>
          </cell>
          <cell r="BX197" t="str">
            <v>HED</v>
          </cell>
          <cell r="BY197">
            <v>1</v>
          </cell>
          <cell r="BZ197" t="str">
            <v>HED</v>
          </cell>
          <cell r="CE197">
            <v>5</v>
          </cell>
          <cell r="CF197" t="str">
            <v>HED</v>
          </cell>
          <cell r="CK197">
            <v>1</v>
          </cell>
          <cell r="CL197" t="str">
            <v>HED</v>
          </cell>
          <cell r="CM197">
            <v>1</v>
          </cell>
          <cell r="CN197" t="str">
            <v>HED</v>
          </cell>
          <cell r="CO197">
            <v>1</v>
          </cell>
          <cell r="CP197" t="str">
            <v>HED</v>
          </cell>
          <cell r="CQ197">
            <v>2</v>
          </cell>
          <cell r="CR197" t="str">
            <v>HED</v>
          </cell>
        </row>
        <row r="198">
          <cell r="A198">
            <v>184</v>
          </cell>
          <cell r="B198">
            <v>73203361</v>
          </cell>
          <cell r="C198" t="str">
            <v>PUELLO RODELO DANIEL ALBERTO</v>
          </cell>
          <cell r="D198" t="str">
            <v>BOGOTA</v>
          </cell>
          <cell r="E198">
            <v>2100</v>
          </cell>
          <cell r="F198">
            <v>103</v>
          </cell>
          <cell r="G198" t="str">
            <v xml:space="preserve">CRUZ BLANCA </v>
          </cell>
          <cell r="I198">
            <v>700000</v>
          </cell>
        </row>
        <row r="199">
          <cell r="A199">
            <v>185</v>
          </cell>
          <cell r="B199">
            <v>8566102</v>
          </cell>
          <cell r="C199" t="str">
            <v>PUPO PALACIO ADOLFO JAVIER</v>
          </cell>
          <cell r="D199" t="str">
            <v>BARRANQUILLA</v>
          </cell>
          <cell r="E199">
            <v>1071</v>
          </cell>
          <cell r="F199">
            <v>47</v>
          </cell>
          <cell r="I199">
            <v>325275</v>
          </cell>
        </row>
        <row r="200">
          <cell r="A200">
            <v>186</v>
          </cell>
          <cell r="B200">
            <v>40026223</v>
          </cell>
          <cell r="C200" t="str">
            <v>QUINCHANEGUA JIMENEZ MERCEDES</v>
          </cell>
          <cell r="D200" t="str">
            <v>BOGOTA</v>
          </cell>
          <cell r="E200">
            <v>2008</v>
          </cell>
          <cell r="F200">
            <v>1</v>
          </cell>
          <cell r="G200" t="str">
            <v xml:space="preserve">CONTABILIDAD </v>
          </cell>
          <cell r="I200">
            <v>700000</v>
          </cell>
        </row>
        <row r="201">
          <cell r="A201">
            <v>187</v>
          </cell>
          <cell r="B201">
            <v>8101817</v>
          </cell>
          <cell r="C201" t="str">
            <v>QUINCHIA BALDOVINO PEDRO PABLO</v>
          </cell>
          <cell r="D201" t="str">
            <v>MEDELLIN</v>
          </cell>
          <cell r="E201">
            <v>2100</v>
          </cell>
          <cell r="F201">
            <v>103</v>
          </cell>
          <cell r="G201" t="str">
            <v xml:space="preserve">CLINICA CRUZ BLANCA </v>
          </cell>
          <cell r="H201" t="str">
            <v>JUNIO-JULIO</v>
          </cell>
          <cell r="I201">
            <v>433700</v>
          </cell>
        </row>
        <row r="202">
          <cell r="A202">
            <v>188</v>
          </cell>
          <cell r="B202">
            <v>1024464149</v>
          </cell>
          <cell r="C202" t="str">
            <v>QUIROGA CASTRO YULI ANDREA</v>
          </cell>
          <cell r="D202" t="str">
            <v>BOGOTA</v>
          </cell>
          <cell r="E202">
            <v>2005</v>
          </cell>
          <cell r="F202">
            <v>1</v>
          </cell>
          <cell r="G202" t="str">
            <v xml:space="preserve">CONTABILIDAD </v>
          </cell>
          <cell r="I202">
            <v>433700</v>
          </cell>
        </row>
        <row r="203">
          <cell r="A203">
            <v>189</v>
          </cell>
          <cell r="B203">
            <v>79632240</v>
          </cell>
          <cell r="C203" t="str">
            <v>RAMIREZ GREGORIO GIOVANNY</v>
          </cell>
          <cell r="D203" t="str">
            <v>BOGOTA</v>
          </cell>
          <cell r="E203">
            <v>2004</v>
          </cell>
          <cell r="F203">
            <v>5</v>
          </cell>
          <cell r="G203" t="str">
            <v>PLANTA</v>
          </cell>
          <cell r="H203" t="str">
            <v>JUNIO-JULIO</v>
          </cell>
          <cell r="I203">
            <v>548000</v>
          </cell>
          <cell r="AE203">
            <v>9</v>
          </cell>
          <cell r="AF203" t="str">
            <v>HEFD</v>
          </cell>
          <cell r="AG203">
            <v>1</v>
          </cell>
          <cell r="AH203" t="str">
            <v>HED</v>
          </cell>
          <cell r="AI203">
            <v>2</v>
          </cell>
          <cell r="AJ203" t="str">
            <v>HED</v>
          </cell>
          <cell r="AK203">
            <v>1</v>
          </cell>
          <cell r="AL203" t="str">
            <v>HED</v>
          </cell>
          <cell r="AO203">
            <v>1</v>
          </cell>
          <cell r="AP203" t="str">
            <v>HED</v>
          </cell>
          <cell r="AU203">
            <v>1</v>
          </cell>
          <cell r="AV203" t="str">
            <v>HED</v>
          </cell>
          <cell r="BK203">
            <v>1</v>
          </cell>
          <cell r="BL203" t="str">
            <v>HED</v>
          </cell>
          <cell r="CK203">
            <v>2</v>
          </cell>
          <cell r="CL203" t="str">
            <v>HED</v>
          </cell>
          <cell r="CQ203">
            <v>1</v>
          </cell>
          <cell r="CR203" t="str">
            <v>HED</v>
          </cell>
        </row>
        <row r="204">
          <cell r="A204">
            <v>190</v>
          </cell>
          <cell r="B204">
            <v>70043351</v>
          </cell>
          <cell r="C204" t="str">
            <v>RANGEL RUIDIAZ ANTONIO MARIA</v>
          </cell>
          <cell r="D204" t="str">
            <v>MEDELLIN</v>
          </cell>
          <cell r="E204">
            <v>2100</v>
          </cell>
          <cell r="F204">
            <v>114</v>
          </cell>
          <cell r="G204" t="str">
            <v>PARQUE EXPLORA</v>
          </cell>
          <cell r="H204" t="str">
            <v>JUNIO-JULIO</v>
          </cell>
          <cell r="I204">
            <v>610000</v>
          </cell>
          <cell r="AO204">
            <v>1</v>
          </cell>
          <cell r="AP204" t="str">
            <v>HED</v>
          </cell>
          <cell r="AQ204">
            <v>5</v>
          </cell>
          <cell r="AR204" t="str">
            <v>HEFD</v>
          </cell>
          <cell r="BS204">
            <v>8</v>
          </cell>
          <cell r="BT204" t="str">
            <v>HEFD</v>
          </cell>
          <cell r="CE204">
            <v>4</v>
          </cell>
          <cell r="CF204" t="str">
            <v>HED</v>
          </cell>
          <cell r="CS204">
            <v>4</v>
          </cell>
          <cell r="CT204" t="str">
            <v>HED</v>
          </cell>
          <cell r="CU204">
            <v>8</v>
          </cell>
          <cell r="CV204" t="str">
            <v>HEFD</v>
          </cell>
        </row>
        <row r="205">
          <cell r="A205">
            <v>191</v>
          </cell>
          <cell r="B205">
            <v>14398755</v>
          </cell>
          <cell r="C205" t="str">
            <v>RICARDO GONZALEZ JAIRO ALBERTO</v>
          </cell>
          <cell r="D205" t="str">
            <v>BOGOTA</v>
          </cell>
          <cell r="E205">
            <v>2005</v>
          </cell>
          <cell r="F205">
            <v>2</v>
          </cell>
          <cell r="G205" t="str">
            <v>SERVICIOS OPERATIVO</v>
          </cell>
          <cell r="H205" t="str">
            <v>JUNIO-JULIO</v>
          </cell>
          <cell r="I205">
            <v>700000</v>
          </cell>
        </row>
        <row r="206">
          <cell r="A206">
            <v>192</v>
          </cell>
          <cell r="B206">
            <v>13719488</v>
          </cell>
          <cell r="C206" t="str">
            <v>RINCON ORTIZ YOVANNY</v>
          </cell>
          <cell r="D206" t="str">
            <v>CERREJON</v>
          </cell>
          <cell r="E206">
            <v>1041</v>
          </cell>
          <cell r="F206">
            <v>4</v>
          </cell>
          <cell r="G206" t="str">
            <v>MINA</v>
          </cell>
          <cell r="I206">
            <v>500000</v>
          </cell>
        </row>
        <row r="207">
          <cell r="A207">
            <v>193</v>
          </cell>
          <cell r="B207">
            <v>44205169</v>
          </cell>
          <cell r="C207" t="str">
            <v>RIVERA BARANDICA LUZ MERY</v>
          </cell>
          <cell r="D207" t="str">
            <v>BARRANQUILLA</v>
          </cell>
          <cell r="E207">
            <v>2004</v>
          </cell>
          <cell r="F207">
            <v>3</v>
          </cell>
          <cell r="I207">
            <v>600000</v>
          </cell>
        </row>
        <row r="208">
          <cell r="A208">
            <v>194</v>
          </cell>
          <cell r="B208">
            <v>77103025</v>
          </cell>
          <cell r="C208" t="str">
            <v>RIVERO QUIROZ ALEXANDER</v>
          </cell>
          <cell r="D208" t="str">
            <v>BOGOTA</v>
          </cell>
          <cell r="E208">
            <v>2100</v>
          </cell>
          <cell r="F208">
            <v>125</v>
          </cell>
          <cell r="G208" t="str">
            <v>ICA</v>
          </cell>
          <cell r="H208" t="str">
            <v>JUNIO-JULIO</v>
          </cell>
          <cell r="I208">
            <v>520000</v>
          </cell>
          <cell r="BQ208">
            <v>3</v>
          </cell>
          <cell r="BR208" t="str">
            <v>HED</v>
          </cell>
          <cell r="BU208">
            <v>7</v>
          </cell>
          <cell r="BV208" t="str">
            <v>HEFD</v>
          </cell>
          <cell r="BW208">
            <v>1</v>
          </cell>
          <cell r="BX208" t="str">
            <v>HED</v>
          </cell>
          <cell r="BY208">
            <v>1</v>
          </cell>
          <cell r="BZ208" t="str">
            <v>HED</v>
          </cell>
          <cell r="CA208">
            <v>1</v>
          </cell>
          <cell r="CB208" t="str">
            <v>HED</v>
          </cell>
          <cell r="CE208">
            <v>5</v>
          </cell>
          <cell r="CF208" t="str">
            <v>HED</v>
          </cell>
          <cell r="CI208">
            <v>1</v>
          </cell>
          <cell r="CJ208" t="str">
            <v>HED</v>
          </cell>
          <cell r="CK208">
            <v>1</v>
          </cell>
          <cell r="CL208" t="str">
            <v>HED</v>
          </cell>
          <cell r="CM208">
            <v>1</v>
          </cell>
          <cell r="CN208" t="str">
            <v>HED</v>
          </cell>
          <cell r="CO208">
            <v>1</v>
          </cell>
          <cell r="CP208" t="str">
            <v>HED</v>
          </cell>
          <cell r="CQ208">
            <v>1</v>
          </cell>
          <cell r="CR208" t="str">
            <v>HED</v>
          </cell>
          <cell r="CS208">
            <v>2</v>
          </cell>
          <cell r="CT208" t="str">
            <v>HED</v>
          </cell>
        </row>
        <row r="209">
          <cell r="A209">
            <v>195</v>
          </cell>
          <cell r="B209">
            <v>72226329</v>
          </cell>
          <cell r="C209" t="str">
            <v>ROBERTTS NARVAEZ LUIS CARLOS</v>
          </cell>
          <cell r="D209" t="str">
            <v>BARRANQUILLA</v>
          </cell>
          <cell r="E209">
            <v>1071</v>
          </cell>
          <cell r="F209">
            <v>10</v>
          </cell>
          <cell r="I209">
            <v>560000</v>
          </cell>
        </row>
        <row r="210">
          <cell r="A210">
            <v>196</v>
          </cell>
          <cell r="B210">
            <v>98619856</v>
          </cell>
          <cell r="C210" t="str">
            <v>RODRIGUEZ BUSTAMANTE IVAN DARIO</v>
          </cell>
          <cell r="D210" t="str">
            <v>MEDELLIN</v>
          </cell>
          <cell r="E210">
            <v>2100</v>
          </cell>
          <cell r="F210">
            <v>114</v>
          </cell>
          <cell r="G210" t="str">
            <v>PANAMERICANA</v>
          </cell>
          <cell r="H210" t="str">
            <v>JUNIO-JULIO</v>
          </cell>
          <cell r="I210">
            <v>433700</v>
          </cell>
          <cell r="AO210">
            <v>1</v>
          </cell>
          <cell r="AP210" t="str">
            <v>HED</v>
          </cell>
          <cell r="BU210">
            <v>10</v>
          </cell>
          <cell r="BV210" t="str">
            <v>HEFD</v>
          </cell>
          <cell r="BW210">
            <v>1</v>
          </cell>
          <cell r="BX210" t="str">
            <v>HED</v>
          </cell>
          <cell r="CE210">
            <v>4</v>
          </cell>
          <cell r="CF210" t="str">
            <v>HED</v>
          </cell>
        </row>
        <row r="211">
          <cell r="A211">
            <v>197</v>
          </cell>
          <cell r="B211">
            <v>8767511</v>
          </cell>
          <cell r="C211" t="str">
            <v>RODRIGUEZ CAMARGO RAFAEL ALBERTO</v>
          </cell>
          <cell r="D211" t="str">
            <v>CERREJON</v>
          </cell>
          <cell r="E211">
            <v>1041</v>
          </cell>
          <cell r="F211">
            <v>4</v>
          </cell>
          <cell r="G211" t="str">
            <v>MINA</v>
          </cell>
          <cell r="I211">
            <v>772000</v>
          </cell>
        </row>
        <row r="212">
          <cell r="A212">
            <v>198</v>
          </cell>
          <cell r="B212">
            <v>72163078</v>
          </cell>
          <cell r="C212" t="str">
            <v>RODRIGUEZ CARRASCO WILSON ENRIQUE</v>
          </cell>
          <cell r="D212" t="str">
            <v>BARRANQUILLA</v>
          </cell>
          <cell r="E212">
            <v>2005</v>
          </cell>
          <cell r="F212">
            <v>4</v>
          </cell>
          <cell r="I212">
            <v>530000</v>
          </cell>
        </row>
        <row r="213">
          <cell r="A213">
            <v>199</v>
          </cell>
          <cell r="B213">
            <v>79898902</v>
          </cell>
          <cell r="C213" t="str">
            <v>RODRIGUEZ CASTAÑEDA MANUEL RICARDO</v>
          </cell>
          <cell r="D213" t="str">
            <v>BOGOTA</v>
          </cell>
          <cell r="E213">
            <v>2100</v>
          </cell>
          <cell r="F213">
            <v>140</v>
          </cell>
          <cell r="G213" t="str">
            <v>CRUSESAR</v>
          </cell>
          <cell r="I213">
            <v>868000</v>
          </cell>
        </row>
        <row r="214">
          <cell r="A214">
            <v>200</v>
          </cell>
          <cell r="B214">
            <v>80152293</v>
          </cell>
          <cell r="C214" t="str">
            <v>RODRIGUEZ EDWIN RICARDO</v>
          </cell>
          <cell r="D214" t="str">
            <v>BOGOTA</v>
          </cell>
          <cell r="E214">
            <v>2100</v>
          </cell>
          <cell r="F214">
            <v>11</v>
          </cell>
          <cell r="G214" t="str">
            <v>ICA</v>
          </cell>
          <cell r="H214" t="str">
            <v>JUNIO-JULIO</v>
          </cell>
          <cell r="I214">
            <v>433700</v>
          </cell>
          <cell r="BQ214">
            <v>1</v>
          </cell>
          <cell r="BR214" t="str">
            <v>HED</v>
          </cell>
          <cell r="BU214">
            <v>7</v>
          </cell>
          <cell r="BV214" t="str">
            <v>HEFD</v>
          </cell>
          <cell r="BW214">
            <v>1</v>
          </cell>
          <cell r="BX214" t="str">
            <v>HED</v>
          </cell>
          <cell r="BY214">
            <v>1</v>
          </cell>
          <cell r="BZ214" t="str">
            <v>HED</v>
          </cell>
          <cell r="CA214">
            <v>1</v>
          </cell>
          <cell r="CB214" t="str">
            <v>HED</v>
          </cell>
          <cell r="CE214">
            <v>2</v>
          </cell>
          <cell r="CF214" t="str">
            <v>HED</v>
          </cell>
          <cell r="CK214">
            <v>1</v>
          </cell>
          <cell r="CL214" t="str">
            <v>HED</v>
          </cell>
          <cell r="CM214">
            <v>1</v>
          </cell>
          <cell r="CN214" t="str">
            <v>HED</v>
          </cell>
        </row>
        <row r="215">
          <cell r="A215">
            <v>201</v>
          </cell>
          <cell r="B215">
            <v>79136821</v>
          </cell>
          <cell r="C215" t="str">
            <v>RODRIGUEZ GARZON MARIO OSWALDO</v>
          </cell>
          <cell r="D215" t="str">
            <v>BOGOTA</v>
          </cell>
          <cell r="E215">
            <v>2003</v>
          </cell>
          <cell r="F215">
            <v>1</v>
          </cell>
          <cell r="G215" t="str">
            <v>COMERCIAL</v>
          </cell>
          <cell r="I215">
            <v>1500000</v>
          </cell>
        </row>
        <row r="216">
          <cell r="A216">
            <v>202</v>
          </cell>
          <cell r="B216">
            <v>26995878</v>
          </cell>
          <cell r="C216" t="str">
            <v>RODRIGUEZ MARQUEZ MARIA AMELIA</v>
          </cell>
          <cell r="D216" t="str">
            <v>CERREJON</v>
          </cell>
          <cell r="E216">
            <v>1041</v>
          </cell>
          <cell r="F216">
            <v>3</v>
          </cell>
          <cell r="G216" t="str">
            <v>MINA</v>
          </cell>
          <cell r="I216">
            <v>750000</v>
          </cell>
        </row>
        <row r="217">
          <cell r="A217">
            <v>203</v>
          </cell>
          <cell r="B217">
            <v>8768837</v>
          </cell>
          <cell r="C217" t="str">
            <v>RODRIGUEZ MEZA TEOBALDO</v>
          </cell>
          <cell r="D217" t="str">
            <v>BARRANQUILLA</v>
          </cell>
          <cell r="E217">
            <v>2005</v>
          </cell>
          <cell r="F217">
            <v>4</v>
          </cell>
          <cell r="I217">
            <v>817000</v>
          </cell>
        </row>
        <row r="218">
          <cell r="A218">
            <v>204</v>
          </cell>
          <cell r="B218">
            <v>79397595</v>
          </cell>
          <cell r="C218" t="str">
            <v>RODRIGUEZ QUEVEDO LUIS ENRIQUE</v>
          </cell>
          <cell r="D218" t="str">
            <v>BOGOTA</v>
          </cell>
          <cell r="E218">
            <v>2002</v>
          </cell>
          <cell r="F218">
            <v>1</v>
          </cell>
          <cell r="G218" t="str">
            <v>ADMINISTRATIVO</v>
          </cell>
          <cell r="I218">
            <v>433700</v>
          </cell>
        </row>
        <row r="219">
          <cell r="A219">
            <v>205</v>
          </cell>
          <cell r="B219">
            <v>12548000</v>
          </cell>
          <cell r="C219" t="str">
            <v>RODRIGUEZ ROJAS JUAN CARLOS</v>
          </cell>
          <cell r="D219" t="str">
            <v>CERREJON</v>
          </cell>
          <cell r="E219">
            <v>1041</v>
          </cell>
          <cell r="F219">
            <v>4</v>
          </cell>
          <cell r="G219" t="str">
            <v>MINA</v>
          </cell>
          <cell r="I219">
            <v>960000</v>
          </cell>
        </row>
        <row r="220">
          <cell r="A220">
            <v>206</v>
          </cell>
          <cell r="B220">
            <v>17954969</v>
          </cell>
          <cell r="C220" t="str">
            <v>RODRIGUEZ VILLALOBOS MILLER ENOT</v>
          </cell>
          <cell r="D220" t="str">
            <v>CERREJON</v>
          </cell>
          <cell r="E220">
            <v>1041</v>
          </cell>
          <cell r="F220">
            <v>4</v>
          </cell>
          <cell r="G220" t="str">
            <v>MINA</v>
          </cell>
          <cell r="I220">
            <v>772000</v>
          </cell>
        </row>
        <row r="221">
          <cell r="A221">
            <v>207</v>
          </cell>
          <cell r="B221">
            <v>22491462</v>
          </cell>
          <cell r="C221" t="str">
            <v>ROJAS BORJA SUSANA PATRICIA</v>
          </cell>
          <cell r="D221" t="str">
            <v>BARRANQUILLA</v>
          </cell>
          <cell r="E221">
            <v>2008</v>
          </cell>
          <cell r="F221">
            <v>2</v>
          </cell>
          <cell r="I221">
            <v>900000</v>
          </cell>
        </row>
        <row r="222">
          <cell r="A222">
            <v>208</v>
          </cell>
          <cell r="B222">
            <v>74183568</v>
          </cell>
          <cell r="C222" t="str">
            <v>ROJAS GOMEZ JOSE DEL CARMEN</v>
          </cell>
          <cell r="D222" t="str">
            <v>CASANARE</v>
          </cell>
          <cell r="E222">
            <v>2041</v>
          </cell>
          <cell r="F222">
            <v>2</v>
          </cell>
          <cell r="G222" t="str">
            <v>CUSIANA</v>
          </cell>
          <cell r="I222">
            <v>1425650</v>
          </cell>
        </row>
        <row r="223">
          <cell r="A223">
            <v>209</v>
          </cell>
          <cell r="B223">
            <v>72000741</v>
          </cell>
          <cell r="C223" t="str">
            <v>ROJAS PENA RENE</v>
          </cell>
          <cell r="D223" t="str">
            <v>BOGOTA</v>
          </cell>
          <cell r="E223">
            <v>2100</v>
          </cell>
          <cell r="F223">
            <v>125</v>
          </cell>
          <cell r="G223" t="str">
            <v>ICA</v>
          </cell>
          <cell r="I223">
            <v>550000</v>
          </cell>
        </row>
        <row r="224">
          <cell r="A224">
            <v>210</v>
          </cell>
          <cell r="B224">
            <v>79416258</v>
          </cell>
          <cell r="C224" t="str">
            <v>ROJAS SANCHEZ ALBERTO ANTONIO</v>
          </cell>
          <cell r="D224" t="str">
            <v>BOGOTA</v>
          </cell>
          <cell r="E224">
            <v>2004</v>
          </cell>
          <cell r="F224">
            <v>5</v>
          </cell>
          <cell r="G224" t="str">
            <v>PLANTA</v>
          </cell>
          <cell r="H224" t="str">
            <v>JUNIO-JULIO</v>
          </cell>
          <cell r="I224">
            <v>470000</v>
          </cell>
          <cell r="AE224">
            <v>9</v>
          </cell>
          <cell r="AF224" t="str">
            <v>HEFD</v>
          </cell>
          <cell r="AG224">
            <v>1</v>
          </cell>
          <cell r="AH224" t="str">
            <v>HED</v>
          </cell>
          <cell r="AI224">
            <v>1</v>
          </cell>
          <cell r="AJ224" t="str">
            <v>HED</v>
          </cell>
          <cell r="AK224">
            <v>1</v>
          </cell>
          <cell r="AL224" t="str">
            <v>HED</v>
          </cell>
          <cell r="AO224">
            <v>1</v>
          </cell>
          <cell r="AP224" t="str">
            <v>HED</v>
          </cell>
          <cell r="AU224">
            <v>1</v>
          </cell>
          <cell r="AV224" t="str">
            <v>HED</v>
          </cell>
          <cell r="BK224">
            <v>1</v>
          </cell>
          <cell r="BL224" t="str">
            <v>HED</v>
          </cell>
        </row>
        <row r="225">
          <cell r="A225">
            <v>211</v>
          </cell>
          <cell r="B225">
            <v>79391001</v>
          </cell>
          <cell r="C225" t="str">
            <v xml:space="preserve">ROJAS SANCHEZ MAURICIO </v>
          </cell>
          <cell r="D225" t="str">
            <v>BOGOTA</v>
          </cell>
          <cell r="E225">
            <v>2100</v>
          </cell>
          <cell r="F225">
            <v>79</v>
          </cell>
          <cell r="G225" t="str">
            <v>UNIANDES</v>
          </cell>
          <cell r="H225" t="str">
            <v>JUNIO-JULIO</v>
          </cell>
          <cell r="I225">
            <v>520000</v>
          </cell>
          <cell r="AU225">
            <v>1</v>
          </cell>
          <cell r="AV225" t="str">
            <v>HED</v>
          </cell>
          <cell r="AW225">
            <v>1</v>
          </cell>
          <cell r="AX225" t="str">
            <v>HED</v>
          </cell>
          <cell r="AY225">
            <v>1</v>
          </cell>
          <cell r="AZ225" t="str">
            <v>HED</v>
          </cell>
          <cell r="BC225">
            <v>6</v>
          </cell>
          <cell r="BD225" t="str">
            <v>HED</v>
          </cell>
          <cell r="BQ225">
            <v>2</v>
          </cell>
          <cell r="BR225" t="str">
            <v>HED</v>
          </cell>
          <cell r="BY225">
            <v>1</v>
          </cell>
          <cell r="BZ225" t="str">
            <v>HED</v>
          </cell>
          <cell r="CI225">
            <v>1</v>
          </cell>
          <cell r="CJ225" t="str">
            <v>HED</v>
          </cell>
          <cell r="CS225">
            <v>2</v>
          </cell>
          <cell r="CT225" t="str">
            <v>HED</v>
          </cell>
        </row>
        <row r="226">
          <cell r="A226">
            <v>212</v>
          </cell>
          <cell r="B226">
            <v>80204677</v>
          </cell>
          <cell r="C226" t="str">
            <v>ROMERO ABRIL JOSE VICENTE</v>
          </cell>
          <cell r="D226" t="str">
            <v>BOGOTA</v>
          </cell>
          <cell r="E226">
            <v>2100</v>
          </cell>
          <cell r="F226">
            <v>124</v>
          </cell>
          <cell r="G226" t="str">
            <v>HITOS TORRE</v>
          </cell>
          <cell r="H226" t="str">
            <v>JUNIO-JULIO</v>
          </cell>
          <cell r="I226">
            <v>520000</v>
          </cell>
          <cell r="CE226">
            <v>6</v>
          </cell>
          <cell r="CF226" t="str">
            <v>HED</v>
          </cell>
        </row>
        <row r="227">
          <cell r="A227">
            <v>213</v>
          </cell>
          <cell r="B227">
            <v>72279546</v>
          </cell>
          <cell r="C227" t="str">
            <v>ROMERO GARCIA DAVID ISAAC</v>
          </cell>
          <cell r="D227" t="str">
            <v>BARRANQUILLA</v>
          </cell>
          <cell r="E227">
            <v>2005</v>
          </cell>
          <cell r="F227">
            <v>4</v>
          </cell>
          <cell r="I227">
            <v>325275</v>
          </cell>
        </row>
        <row r="228">
          <cell r="A228">
            <v>214</v>
          </cell>
          <cell r="B228">
            <v>72006609</v>
          </cell>
          <cell r="C228" t="str">
            <v>ROMERO MORENO YAHIRSINIO DAVID</v>
          </cell>
          <cell r="D228" t="str">
            <v>BOGOTA</v>
          </cell>
          <cell r="E228">
            <v>2100</v>
          </cell>
          <cell r="F228">
            <v>79</v>
          </cell>
          <cell r="G228" t="str">
            <v>UNIANDES</v>
          </cell>
          <cell r="I228">
            <v>550000</v>
          </cell>
        </row>
        <row r="229">
          <cell r="A229">
            <v>215</v>
          </cell>
          <cell r="B229">
            <v>73147515</v>
          </cell>
          <cell r="C229" t="str">
            <v>ROMERO PAJARO JOSE ENRIQUE</v>
          </cell>
          <cell r="D229" t="str">
            <v>BOGOTA</v>
          </cell>
          <cell r="E229">
            <v>2004</v>
          </cell>
          <cell r="F229">
            <v>5</v>
          </cell>
          <cell r="G229" t="str">
            <v>PLANTA</v>
          </cell>
          <cell r="H229" t="str">
            <v>JUNIO-JULIO</v>
          </cell>
          <cell r="I229">
            <v>600000</v>
          </cell>
          <cell r="AE229">
            <v>9</v>
          </cell>
          <cell r="AF229" t="str">
            <v>HEFD</v>
          </cell>
          <cell r="AG229">
            <v>1</v>
          </cell>
          <cell r="AH229" t="str">
            <v>HED</v>
          </cell>
          <cell r="AI229">
            <v>2</v>
          </cell>
          <cell r="AJ229" t="str">
            <v>HED</v>
          </cell>
          <cell r="AK229">
            <v>1</v>
          </cell>
          <cell r="AL229" t="str">
            <v>HED</v>
          </cell>
          <cell r="AU229">
            <v>1</v>
          </cell>
          <cell r="AV229" t="str">
            <v>HED</v>
          </cell>
          <cell r="BK229">
            <v>1</v>
          </cell>
          <cell r="BL229" t="str">
            <v>HED</v>
          </cell>
          <cell r="BX229" t="str">
            <v>ING</v>
          </cell>
          <cell r="BZ229" t="str">
            <v>ING</v>
          </cell>
          <cell r="CQ229">
            <v>1</v>
          </cell>
          <cell r="CR229" t="str">
            <v>HED</v>
          </cell>
        </row>
        <row r="230">
          <cell r="A230">
            <v>216</v>
          </cell>
          <cell r="B230">
            <v>79621499</v>
          </cell>
          <cell r="C230" t="str">
            <v>RUBIO FERNANDO</v>
          </cell>
          <cell r="D230" t="str">
            <v>BOGOTA</v>
          </cell>
          <cell r="E230">
            <v>2100</v>
          </cell>
          <cell r="F230">
            <v>125</v>
          </cell>
          <cell r="G230" t="str">
            <v>ICA</v>
          </cell>
          <cell r="I230">
            <v>1400000</v>
          </cell>
        </row>
        <row r="231">
          <cell r="A231">
            <v>217</v>
          </cell>
          <cell r="B231">
            <v>80035415</v>
          </cell>
          <cell r="C231" t="str">
            <v>RUIZ VELASQUEZ HECTOR IVAN</v>
          </cell>
          <cell r="D231" t="str">
            <v>BOGOTA</v>
          </cell>
          <cell r="E231">
            <v>2100</v>
          </cell>
          <cell r="F231">
            <v>129</v>
          </cell>
          <cell r="G231" t="str">
            <v>TOLEMAIDA</v>
          </cell>
          <cell r="I231">
            <v>868000</v>
          </cell>
        </row>
        <row r="232">
          <cell r="A232">
            <v>218</v>
          </cell>
          <cell r="B232">
            <v>79486622</v>
          </cell>
          <cell r="C232" t="str">
            <v>RUIZ VELOZA LUIS GERMAN</v>
          </cell>
          <cell r="D232" t="str">
            <v>BOGOTA</v>
          </cell>
          <cell r="E232">
            <v>2100</v>
          </cell>
          <cell r="F232">
            <v>79</v>
          </cell>
          <cell r="G232" t="str">
            <v>UNIANDES</v>
          </cell>
          <cell r="H232" t="str">
            <v>JUNIO-JULIO</v>
          </cell>
          <cell r="I232">
            <v>1000000</v>
          </cell>
          <cell r="AY232">
            <v>1</v>
          </cell>
          <cell r="AZ232" t="str">
            <v>HED</v>
          </cell>
          <cell r="BC232">
            <v>7</v>
          </cell>
          <cell r="BD232" t="str">
            <v>HED</v>
          </cell>
          <cell r="BY232">
            <v>1</v>
          </cell>
          <cell r="BZ232" t="str">
            <v>HED</v>
          </cell>
          <cell r="CE232">
            <v>6</v>
          </cell>
          <cell r="CF232" t="str">
            <v>HED</v>
          </cell>
        </row>
        <row r="233">
          <cell r="A233">
            <v>219</v>
          </cell>
          <cell r="B233">
            <v>78732298</v>
          </cell>
          <cell r="C233" t="str">
            <v>SAEZ VIDAL MANUEL EDILBERTO</v>
          </cell>
          <cell r="D233" t="str">
            <v>BOGOTA</v>
          </cell>
          <cell r="E233">
            <v>2100</v>
          </cell>
          <cell r="F233">
            <v>79</v>
          </cell>
          <cell r="G233" t="str">
            <v>UNIANDES</v>
          </cell>
          <cell r="H233" t="str">
            <v>JUNIO-JULIO</v>
          </cell>
          <cell r="I233">
            <v>433700</v>
          </cell>
          <cell r="AU233">
            <v>1</v>
          </cell>
          <cell r="AV233" t="str">
            <v>HED</v>
          </cell>
          <cell r="AW233">
            <v>1</v>
          </cell>
          <cell r="AX233" t="str">
            <v>HED</v>
          </cell>
          <cell r="BA233">
            <v>3</v>
          </cell>
          <cell r="BB233" t="str">
            <v>HED</v>
          </cell>
          <cell r="BC233">
            <v>2</v>
          </cell>
          <cell r="BD233" t="str">
            <v>HED</v>
          </cell>
          <cell r="BE233">
            <v>6</v>
          </cell>
          <cell r="BF233" t="str">
            <v>HED</v>
          </cell>
          <cell r="BQ233">
            <v>5</v>
          </cell>
          <cell r="BR233" t="str">
            <v>HED</v>
          </cell>
          <cell r="BY233">
            <v>1</v>
          </cell>
          <cell r="BZ233" t="str">
            <v>HED</v>
          </cell>
          <cell r="CE233">
            <v>6</v>
          </cell>
          <cell r="CF233" t="str">
            <v>HED</v>
          </cell>
          <cell r="CI233">
            <v>1</v>
          </cell>
          <cell r="CJ233" t="str">
            <v>HED</v>
          </cell>
          <cell r="CK233">
            <v>1</v>
          </cell>
          <cell r="CL233" t="str">
            <v>HED</v>
          </cell>
          <cell r="CM233">
            <v>1</v>
          </cell>
          <cell r="CN233" t="str">
            <v>HED</v>
          </cell>
          <cell r="CO233">
            <v>4</v>
          </cell>
          <cell r="CP233" t="str">
            <v>HED</v>
          </cell>
          <cell r="CQ233">
            <v>1</v>
          </cell>
          <cell r="CR233" t="str">
            <v>HED</v>
          </cell>
          <cell r="CS233">
            <v>6</v>
          </cell>
          <cell r="CT233" t="str">
            <v>HED</v>
          </cell>
        </row>
        <row r="234">
          <cell r="A234">
            <v>220</v>
          </cell>
          <cell r="B234">
            <v>2757009</v>
          </cell>
          <cell r="C234" t="str">
            <v>SAEZ VIDAL MANUEL FRANCISCO</v>
          </cell>
          <cell r="D234" t="str">
            <v>BOGOTA</v>
          </cell>
          <cell r="E234">
            <v>2100</v>
          </cell>
          <cell r="F234">
            <v>79</v>
          </cell>
          <cell r="G234" t="str">
            <v>UNIANDES</v>
          </cell>
          <cell r="H234" t="str">
            <v>JUNIO-JULIO</v>
          </cell>
          <cell r="I234">
            <v>520000</v>
          </cell>
          <cell r="AU234">
            <v>1</v>
          </cell>
          <cell r="AV234" t="str">
            <v>HED</v>
          </cell>
          <cell r="AW234">
            <v>1</v>
          </cell>
          <cell r="AX234" t="str">
            <v>HED</v>
          </cell>
          <cell r="AY234">
            <v>1</v>
          </cell>
          <cell r="AZ234" t="str">
            <v>HED</v>
          </cell>
          <cell r="BC234">
            <v>6</v>
          </cell>
          <cell r="BD234" t="str">
            <v>HED</v>
          </cell>
          <cell r="BK234">
            <v>1</v>
          </cell>
          <cell r="BL234" t="str">
            <v>HED</v>
          </cell>
          <cell r="BM234">
            <v>1</v>
          </cell>
          <cell r="BN234" t="str">
            <v>HED</v>
          </cell>
          <cell r="BQ234">
            <v>5</v>
          </cell>
          <cell r="BR234" t="str">
            <v>HED</v>
          </cell>
          <cell r="BW234">
            <v>1</v>
          </cell>
          <cell r="BX234" t="str">
            <v>HED</v>
          </cell>
          <cell r="BY234">
            <v>1</v>
          </cell>
          <cell r="BZ234" t="str">
            <v>HED</v>
          </cell>
          <cell r="CE234">
            <v>6</v>
          </cell>
          <cell r="CF234" t="str">
            <v>HED</v>
          </cell>
          <cell r="CI234">
            <v>1</v>
          </cell>
          <cell r="CJ234" t="str">
            <v>HED</v>
          </cell>
          <cell r="CS234">
            <v>6</v>
          </cell>
          <cell r="CT234" t="str">
            <v>HED</v>
          </cell>
        </row>
        <row r="235">
          <cell r="A235">
            <v>221</v>
          </cell>
          <cell r="B235">
            <v>8705846</v>
          </cell>
          <cell r="C235" t="str">
            <v>SALAZAR RAMOS FIDEL EMILIO</v>
          </cell>
          <cell r="D235" t="str">
            <v>BARRANQUILLA</v>
          </cell>
          <cell r="E235">
            <v>1071</v>
          </cell>
          <cell r="F235">
            <v>10</v>
          </cell>
          <cell r="I235">
            <v>445000</v>
          </cell>
        </row>
        <row r="236">
          <cell r="A236">
            <v>222</v>
          </cell>
          <cell r="B236">
            <v>8722659</v>
          </cell>
          <cell r="C236" t="str">
            <v>SALAZAR RAMOS TARQUINIO RAFAEL</v>
          </cell>
          <cell r="D236" t="str">
            <v>BARRANQUILLA</v>
          </cell>
          <cell r="E236">
            <v>2004</v>
          </cell>
          <cell r="F236">
            <v>4</v>
          </cell>
          <cell r="I236">
            <v>735000</v>
          </cell>
        </row>
        <row r="237">
          <cell r="A237">
            <v>223</v>
          </cell>
          <cell r="B237">
            <v>63334180</v>
          </cell>
          <cell r="C237" t="str">
            <v>SANCHEZ ARDILA LUZ STELLA</v>
          </cell>
          <cell r="D237" t="str">
            <v>BOGOTA</v>
          </cell>
          <cell r="E237">
            <v>2005</v>
          </cell>
          <cell r="F237">
            <v>1</v>
          </cell>
          <cell r="G237" t="str">
            <v xml:space="preserve">CONTABILIDAD </v>
          </cell>
          <cell r="I237">
            <v>800000</v>
          </cell>
        </row>
        <row r="238">
          <cell r="A238">
            <v>224</v>
          </cell>
          <cell r="B238">
            <v>39679161</v>
          </cell>
          <cell r="C238" t="str">
            <v>SANCHEZ COMBITA SONIA CONSTANZA</v>
          </cell>
          <cell r="D238" t="str">
            <v>BOGOTA</v>
          </cell>
          <cell r="E238">
            <v>2001</v>
          </cell>
          <cell r="F238">
            <v>1</v>
          </cell>
          <cell r="G238" t="str">
            <v>ALTA DIRECCION</v>
          </cell>
          <cell r="I238">
            <v>850000</v>
          </cell>
        </row>
        <row r="239">
          <cell r="A239">
            <v>225</v>
          </cell>
          <cell r="B239">
            <v>98638740</v>
          </cell>
          <cell r="C239" t="str">
            <v>SANDOVAL CESAR BERNANDO</v>
          </cell>
          <cell r="D239" t="str">
            <v>MEDELLIN</v>
          </cell>
          <cell r="E239">
            <v>2100</v>
          </cell>
          <cell r="F239">
            <v>103</v>
          </cell>
          <cell r="G239" t="str">
            <v>CLINICA CRUZ BLANCA</v>
          </cell>
          <cell r="H239" t="str">
            <v>JUNIO-JULIO</v>
          </cell>
          <cell r="I239">
            <v>433700</v>
          </cell>
        </row>
        <row r="240">
          <cell r="A240">
            <v>226</v>
          </cell>
          <cell r="B240">
            <v>72283669</v>
          </cell>
          <cell r="C240" t="str">
            <v>SANDOVAL GUZMAN SAYITH HERNANDO</v>
          </cell>
          <cell r="D240" t="str">
            <v>BARRANQUILLA</v>
          </cell>
          <cell r="E240">
            <v>2100</v>
          </cell>
          <cell r="F240">
            <v>101</v>
          </cell>
          <cell r="I240">
            <v>433700</v>
          </cell>
        </row>
        <row r="241">
          <cell r="A241">
            <v>227</v>
          </cell>
          <cell r="B241">
            <v>72309725</v>
          </cell>
          <cell r="C241" t="str">
            <v>SANDOVAL SOSA RUDYS JAVIER</v>
          </cell>
          <cell r="D241" t="str">
            <v>BOGOTA</v>
          </cell>
          <cell r="E241">
            <v>2004</v>
          </cell>
          <cell r="F241">
            <v>5</v>
          </cell>
          <cell r="G241" t="str">
            <v>PLANTA</v>
          </cell>
          <cell r="H241" t="str">
            <v>JUNIO-JULIO</v>
          </cell>
          <cell r="I241">
            <v>433700</v>
          </cell>
          <cell r="AU241">
            <v>1</v>
          </cell>
          <cell r="AV241" t="str">
            <v>HED</v>
          </cell>
          <cell r="BW241">
            <v>1</v>
          </cell>
          <cell r="BX241" t="str">
            <v>HED</v>
          </cell>
        </row>
        <row r="242">
          <cell r="A242">
            <v>228</v>
          </cell>
          <cell r="B242">
            <v>8642991</v>
          </cell>
          <cell r="C242" t="str">
            <v>SARMIENTO CORRO EDUARDO ANTONIO</v>
          </cell>
          <cell r="D242" t="str">
            <v>CERREJON</v>
          </cell>
          <cell r="E242">
            <v>1041</v>
          </cell>
          <cell r="F242">
            <v>4</v>
          </cell>
          <cell r="G242" t="str">
            <v>MINA</v>
          </cell>
          <cell r="I242">
            <v>740000</v>
          </cell>
        </row>
        <row r="243">
          <cell r="A243">
            <v>229</v>
          </cell>
          <cell r="B243">
            <v>8745794</v>
          </cell>
          <cell r="C243" t="str">
            <v>SERRANO ALVARADO ORLANDO</v>
          </cell>
          <cell r="D243" t="str">
            <v>BOGOTA</v>
          </cell>
          <cell r="E243">
            <v>2004</v>
          </cell>
          <cell r="F243">
            <v>1</v>
          </cell>
          <cell r="G243" t="str">
            <v>OBRAS ADMINISTRATIVO</v>
          </cell>
          <cell r="I243">
            <v>3000000</v>
          </cell>
        </row>
        <row r="244">
          <cell r="A244">
            <v>230</v>
          </cell>
          <cell r="B244">
            <v>83248296</v>
          </cell>
          <cell r="C244" t="str">
            <v>SERRATO FAIBER</v>
          </cell>
          <cell r="D244" t="str">
            <v>BOGOTA</v>
          </cell>
          <cell r="E244">
            <v>2007</v>
          </cell>
          <cell r="F244">
            <v>1</v>
          </cell>
          <cell r="G244" t="str">
            <v>CONDUCTOR</v>
          </cell>
          <cell r="I244">
            <v>450000</v>
          </cell>
        </row>
        <row r="245">
          <cell r="A245">
            <v>231</v>
          </cell>
          <cell r="B245">
            <v>7571081</v>
          </cell>
          <cell r="C245" t="str">
            <v>SILVA VENECIA CLEMENTE</v>
          </cell>
          <cell r="D245" t="str">
            <v>CERREJON</v>
          </cell>
          <cell r="E245">
            <v>1041</v>
          </cell>
          <cell r="F245">
            <v>4</v>
          </cell>
          <cell r="G245" t="str">
            <v>MINA</v>
          </cell>
          <cell r="I245">
            <v>930000</v>
          </cell>
        </row>
        <row r="246">
          <cell r="A246">
            <v>232</v>
          </cell>
          <cell r="B246">
            <v>72338516</v>
          </cell>
          <cell r="C246" t="str">
            <v>SOLANO BARRIOS MANUEL ANTONIO</v>
          </cell>
          <cell r="D246" t="str">
            <v>BARRANQUILLA</v>
          </cell>
          <cell r="E246">
            <v>2100</v>
          </cell>
          <cell r="F246">
            <v>101</v>
          </cell>
          <cell r="I246">
            <v>433700</v>
          </cell>
        </row>
        <row r="247">
          <cell r="A247">
            <v>233</v>
          </cell>
          <cell r="B247">
            <v>8767156</v>
          </cell>
          <cell r="C247" t="str">
            <v>SOTOMAYOR JIMENEZ ALEX RAFAEL</v>
          </cell>
          <cell r="D247" t="str">
            <v>BARRANQUILLA</v>
          </cell>
          <cell r="E247">
            <v>2002</v>
          </cell>
          <cell r="F247">
            <v>3</v>
          </cell>
          <cell r="I247">
            <v>433700</v>
          </cell>
        </row>
        <row r="248">
          <cell r="A248">
            <v>234</v>
          </cell>
          <cell r="B248">
            <v>80178785</v>
          </cell>
          <cell r="C248" t="str">
            <v>SUAREZ BRICENO EDIN OSWALDO</v>
          </cell>
          <cell r="D248" t="str">
            <v>BOGOTA</v>
          </cell>
          <cell r="E248">
            <v>2002</v>
          </cell>
          <cell r="F248">
            <v>2</v>
          </cell>
          <cell r="G248" t="str">
            <v>TALENTO HUMANO</v>
          </cell>
          <cell r="I248">
            <v>600000</v>
          </cell>
        </row>
        <row r="249">
          <cell r="A249">
            <v>235</v>
          </cell>
          <cell r="B249">
            <v>73083743</v>
          </cell>
          <cell r="C249" t="str">
            <v>TAMARA ANAYA JOSE ALBERTO</v>
          </cell>
          <cell r="D249" t="str">
            <v>BOGOTA</v>
          </cell>
          <cell r="E249">
            <v>2004</v>
          </cell>
          <cell r="F249">
            <v>2</v>
          </cell>
          <cell r="G249" t="str">
            <v>OBRAS OPERATIVO</v>
          </cell>
          <cell r="I249">
            <v>492000</v>
          </cell>
        </row>
        <row r="250">
          <cell r="A250">
            <v>236</v>
          </cell>
          <cell r="B250">
            <v>19490944</v>
          </cell>
          <cell r="C250" t="str">
            <v>TENJICA NOBLES JOSE HELMER</v>
          </cell>
          <cell r="D250" t="str">
            <v>BOGOTA</v>
          </cell>
          <cell r="E250">
            <v>2004</v>
          </cell>
          <cell r="F250">
            <v>2</v>
          </cell>
          <cell r="G250" t="str">
            <v>OBRAS OPERATIVO</v>
          </cell>
          <cell r="I250">
            <v>433700</v>
          </cell>
        </row>
        <row r="251">
          <cell r="A251">
            <v>237</v>
          </cell>
          <cell r="B251">
            <v>80756917</v>
          </cell>
          <cell r="C251" t="str">
            <v>TENJO GUTIERREZ DANNY JEFERSON</v>
          </cell>
          <cell r="D251" t="str">
            <v>BOGOTA</v>
          </cell>
          <cell r="E251">
            <v>2100</v>
          </cell>
          <cell r="F251">
            <v>124</v>
          </cell>
          <cell r="G251" t="str">
            <v>HITOS TORRE</v>
          </cell>
          <cell r="H251" t="str">
            <v>JUNIO-JULIO</v>
          </cell>
          <cell r="I251">
            <v>520000</v>
          </cell>
          <cell r="CE251">
            <v>6</v>
          </cell>
          <cell r="CF251" t="str">
            <v>HED</v>
          </cell>
        </row>
        <row r="252">
          <cell r="A252">
            <v>238</v>
          </cell>
          <cell r="B252">
            <v>1129510366</v>
          </cell>
          <cell r="C252" t="str">
            <v>TORRES ESCOBAR JOSE CARLOS</v>
          </cell>
          <cell r="D252" t="str">
            <v>BARRANQUILLA</v>
          </cell>
          <cell r="E252">
            <v>1071</v>
          </cell>
          <cell r="F252">
            <v>27</v>
          </cell>
          <cell r="I252">
            <v>325275</v>
          </cell>
        </row>
        <row r="253">
          <cell r="A253">
            <v>239</v>
          </cell>
          <cell r="B253">
            <v>1057756816</v>
          </cell>
          <cell r="C253" t="str">
            <v>TORRES MOTATO VICTOR ALFONSO</v>
          </cell>
          <cell r="D253" t="str">
            <v>MEDELLIN</v>
          </cell>
          <cell r="E253">
            <v>2100</v>
          </cell>
          <cell r="F253">
            <v>103</v>
          </cell>
          <cell r="G253" t="str">
            <v xml:space="preserve">CLINICA CRUZ BLANCA </v>
          </cell>
          <cell r="H253" t="str">
            <v>JUNIO-JULIO</v>
          </cell>
          <cell r="I253">
            <v>433700</v>
          </cell>
        </row>
        <row r="254">
          <cell r="A254">
            <v>240</v>
          </cell>
          <cell r="B254">
            <v>1032376117</v>
          </cell>
          <cell r="C254" t="str">
            <v>TRUJILLO RIANO CRISTHIAN CAMILO</v>
          </cell>
          <cell r="D254" t="str">
            <v>BOGOTA</v>
          </cell>
          <cell r="E254">
            <v>2005</v>
          </cell>
          <cell r="F254">
            <v>2</v>
          </cell>
          <cell r="G254" t="str">
            <v>SERVICIOS OPERATIVO</v>
          </cell>
          <cell r="H254" t="str">
            <v>JUNIO-JULIO</v>
          </cell>
          <cell r="I254">
            <v>433700</v>
          </cell>
          <cell r="BK254">
            <v>5</v>
          </cell>
          <cell r="BL254" t="str">
            <v>HED</v>
          </cell>
          <cell r="BM254">
            <v>5</v>
          </cell>
          <cell r="BN254" t="str">
            <v>HED</v>
          </cell>
          <cell r="CE254">
            <v>1</v>
          </cell>
          <cell r="CF254" t="str">
            <v>HED</v>
          </cell>
        </row>
        <row r="255">
          <cell r="A255">
            <v>241</v>
          </cell>
          <cell r="B255">
            <v>24228722</v>
          </cell>
          <cell r="C255" t="str">
            <v>UNIBIO CARRANZA MARIA SOFIA</v>
          </cell>
          <cell r="D255" t="str">
            <v>CASANARE</v>
          </cell>
          <cell r="E255">
            <v>2041</v>
          </cell>
          <cell r="F255">
            <v>2</v>
          </cell>
          <cell r="G255" t="str">
            <v>CUSIANA</v>
          </cell>
          <cell r="I255">
            <v>900000</v>
          </cell>
        </row>
        <row r="256">
          <cell r="A256">
            <v>242</v>
          </cell>
          <cell r="B256">
            <v>71264549</v>
          </cell>
          <cell r="C256" t="str">
            <v>USUGA TAMAYO ANDRES ALBERTO</v>
          </cell>
          <cell r="D256" t="str">
            <v>MEDELLIN</v>
          </cell>
          <cell r="E256">
            <v>2100</v>
          </cell>
          <cell r="F256">
            <v>103</v>
          </cell>
          <cell r="G256" t="str">
            <v xml:space="preserve">CLINICA CRUZ BLANCA </v>
          </cell>
          <cell r="H256" t="str">
            <v>JUNIO-JULIO</v>
          </cell>
          <cell r="I256">
            <v>464000</v>
          </cell>
        </row>
        <row r="257">
          <cell r="A257">
            <v>243</v>
          </cell>
          <cell r="B257">
            <v>74845556</v>
          </cell>
          <cell r="C257" t="str">
            <v>VACCA ZORRO RIGOBERTO</v>
          </cell>
          <cell r="D257" t="str">
            <v>CASANARE</v>
          </cell>
          <cell r="E257">
            <v>2041</v>
          </cell>
          <cell r="F257">
            <v>4</v>
          </cell>
          <cell r="G257" t="str">
            <v>CUPIAGUA</v>
          </cell>
          <cell r="I257">
            <v>1108282</v>
          </cell>
        </row>
        <row r="258">
          <cell r="A258">
            <v>244</v>
          </cell>
          <cell r="B258">
            <v>80438858</v>
          </cell>
          <cell r="C258" t="str">
            <v>VALENCIA RAMIREZ RAFAEL ANTONIO</v>
          </cell>
          <cell r="D258" t="str">
            <v>BOGOTA</v>
          </cell>
          <cell r="E258">
            <v>2007</v>
          </cell>
          <cell r="F258">
            <v>1</v>
          </cell>
          <cell r="G258" t="str">
            <v xml:space="preserve">MATERIALES </v>
          </cell>
          <cell r="I258">
            <v>1400000</v>
          </cell>
        </row>
        <row r="259">
          <cell r="A259">
            <v>245</v>
          </cell>
          <cell r="B259">
            <v>52388802</v>
          </cell>
          <cell r="C259" t="str">
            <v>VALLEJO VARGAS BLANCA NOIRA</v>
          </cell>
          <cell r="D259" t="str">
            <v>BOGOTA</v>
          </cell>
          <cell r="E259">
            <v>2002</v>
          </cell>
          <cell r="F259">
            <v>1</v>
          </cell>
          <cell r="G259" t="str">
            <v>ADMINISTRATIVO</v>
          </cell>
          <cell r="I259">
            <v>550000</v>
          </cell>
        </row>
        <row r="260">
          <cell r="A260">
            <v>246</v>
          </cell>
          <cell r="B260">
            <v>72022956</v>
          </cell>
          <cell r="C260" t="str">
            <v>VEGA CONSUEGRA JAVIER ENRIQUE</v>
          </cell>
          <cell r="D260" t="str">
            <v>CERREJON</v>
          </cell>
          <cell r="E260">
            <v>1041</v>
          </cell>
          <cell r="F260">
            <v>4</v>
          </cell>
          <cell r="G260" t="str">
            <v>MINA</v>
          </cell>
          <cell r="I260">
            <v>433700</v>
          </cell>
        </row>
        <row r="261">
          <cell r="A261">
            <v>247</v>
          </cell>
          <cell r="B261">
            <v>79518279</v>
          </cell>
          <cell r="C261" t="str">
            <v>VEGA JUAN CARLOS</v>
          </cell>
          <cell r="D261" t="str">
            <v>BOGOTA</v>
          </cell>
          <cell r="E261">
            <v>2100</v>
          </cell>
          <cell r="F261">
            <v>79</v>
          </cell>
          <cell r="G261" t="str">
            <v>UNIANDES</v>
          </cell>
          <cell r="H261" t="str">
            <v>JUNIO-JULIO</v>
          </cell>
          <cell r="I261">
            <v>470000</v>
          </cell>
          <cell r="AU261">
            <v>1</v>
          </cell>
          <cell r="AV261" t="str">
            <v>HED</v>
          </cell>
          <cell r="AW261">
            <v>1</v>
          </cell>
          <cell r="AX261" t="str">
            <v>HED</v>
          </cell>
          <cell r="AY261">
            <v>1</v>
          </cell>
          <cell r="AZ261" t="str">
            <v>HED</v>
          </cell>
          <cell r="BC261">
            <v>2</v>
          </cell>
          <cell r="BD261" t="str">
            <v>HED</v>
          </cell>
          <cell r="BE261">
            <v>6</v>
          </cell>
          <cell r="BF261" t="str">
            <v>HED</v>
          </cell>
          <cell r="BY261">
            <v>1</v>
          </cell>
          <cell r="BZ261" t="str">
            <v>HED</v>
          </cell>
          <cell r="CE261">
            <v>6</v>
          </cell>
          <cell r="CF261" t="str">
            <v>HED</v>
          </cell>
          <cell r="CI261">
            <v>1</v>
          </cell>
          <cell r="CJ261" t="str">
            <v>HED</v>
          </cell>
          <cell r="CK261">
            <v>1</v>
          </cell>
          <cell r="CL261" t="str">
            <v>HED</v>
          </cell>
          <cell r="CM261">
            <v>1</v>
          </cell>
          <cell r="CN261" t="str">
            <v>HED</v>
          </cell>
          <cell r="CO261">
            <v>4</v>
          </cell>
          <cell r="CP261" t="str">
            <v>HED</v>
          </cell>
          <cell r="CQ261">
            <v>1</v>
          </cell>
          <cell r="CR261" t="str">
            <v>HED</v>
          </cell>
          <cell r="CS261">
            <v>6</v>
          </cell>
          <cell r="CT261" t="str">
            <v>HED</v>
          </cell>
        </row>
        <row r="262">
          <cell r="A262">
            <v>248</v>
          </cell>
          <cell r="B262">
            <v>74751714</v>
          </cell>
          <cell r="C262" t="str">
            <v>VERA MORENO WILTON</v>
          </cell>
          <cell r="D262" t="str">
            <v>CASANARE</v>
          </cell>
          <cell r="E262">
            <v>2041</v>
          </cell>
          <cell r="F262">
            <v>4</v>
          </cell>
          <cell r="G262" t="str">
            <v>CUPIAGUA</v>
          </cell>
          <cell r="I262">
            <v>1108282</v>
          </cell>
        </row>
        <row r="263">
          <cell r="A263">
            <v>249</v>
          </cell>
          <cell r="B263">
            <v>72219501</v>
          </cell>
          <cell r="C263" t="str">
            <v>VILLALBA ORLANDO RAFAEL</v>
          </cell>
          <cell r="D263" t="str">
            <v>MEDELLIN</v>
          </cell>
          <cell r="E263">
            <v>2100</v>
          </cell>
          <cell r="F263">
            <v>103</v>
          </cell>
          <cell r="G263" t="str">
            <v xml:space="preserve">CLINICA CRUZ BLANCA </v>
          </cell>
          <cell r="H263" t="str">
            <v>JUNIO-JULIO</v>
          </cell>
          <cell r="I263">
            <v>700000</v>
          </cell>
          <cell r="BQ263">
            <v>5</v>
          </cell>
          <cell r="BR263" t="str">
            <v>HED</v>
          </cell>
          <cell r="BS263">
            <v>7</v>
          </cell>
          <cell r="BT263" t="str">
            <v>HEFD</v>
          </cell>
        </row>
        <row r="264">
          <cell r="A264">
            <v>250</v>
          </cell>
          <cell r="B264">
            <v>72263300</v>
          </cell>
          <cell r="C264" t="str">
            <v>VILLALBA VLADIMIR</v>
          </cell>
          <cell r="D264" t="str">
            <v>MEDELLIN</v>
          </cell>
          <cell r="E264">
            <v>2100</v>
          </cell>
          <cell r="F264">
            <v>114</v>
          </cell>
          <cell r="G264" t="str">
            <v>PANAMERICANA</v>
          </cell>
          <cell r="H264" t="str">
            <v>JUNIO-JULIO</v>
          </cell>
          <cell r="I264">
            <v>700000</v>
          </cell>
          <cell r="AK264">
            <v>4</v>
          </cell>
          <cell r="AL264" t="str">
            <v>HED</v>
          </cell>
          <cell r="AO264">
            <v>1</v>
          </cell>
          <cell r="AP264" t="str">
            <v>HED</v>
          </cell>
          <cell r="BU264">
            <v>10</v>
          </cell>
          <cell r="BV264" t="str">
            <v>HEFD</v>
          </cell>
          <cell r="BW264">
            <v>1</v>
          </cell>
          <cell r="BX264" t="str">
            <v>HED</v>
          </cell>
          <cell r="CE264">
            <v>4</v>
          </cell>
          <cell r="CF264" t="str">
            <v>HED</v>
          </cell>
        </row>
        <row r="265">
          <cell r="A265">
            <v>251</v>
          </cell>
          <cell r="B265">
            <v>17951795</v>
          </cell>
          <cell r="C265" t="str">
            <v>VILORIA USTARIZ ALFREDO LUIS</v>
          </cell>
          <cell r="D265" t="str">
            <v>CERREJON</v>
          </cell>
          <cell r="E265">
            <v>1041</v>
          </cell>
          <cell r="F265">
            <v>4</v>
          </cell>
          <cell r="G265" t="str">
            <v>MINA</v>
          </cell>
          <cell r="I265">
            <v>810000</v>
          </cell>
        </row>
        <row r="266">
          <cell r="A266">
            <v>252</v>
          </cell>
          <cell r="B266">
            <v>79383138</v>
          </cell>
          <cell r="C266" t="str">
            <v>VIUCHE GERENA GUILLERMO</v>
          </cell>
          <cell r="D266" t="str">
            <v>BOGOTA</v>
          </cell>
          <cell r="E266">
            <v>2005</v>
          </cell>
          <cell r="F266">
            <v>2</v>
          </cell>
          <cell r="G266" t="str">
            <v>SERVICIOS OPERATIVO</v>
          </cell>
          <cell r="H266" t="str">
            <v>JUNIO-JULIO</v>
          </cell>
          <cell r="I266">
            <v>590000</v>
          </cell>
          <cell r="BO266">
            <v>1</v>
          </cell>
          <cell r="BP266" t="str">
            <v>HED</v>
          </cell>
          <cell r="CQ266">
            <v>3</v>
          </cell>
          <cell r="CR266" t="str">
            <v>HED</v>
          </cell>
        </row>
        <row r="267">
          <cell r="A267">
            <v>253</v>
          </cell>
          <cell r="B267">
            <v>72303571</v>
          </cell>
          <cell r="C267" t="str">
            <v>SAMPER GUTIERREZ JUAN CARLOS</v>
          </cell>
          <cell r="D267" t="str">
            <v>BARRANQUILLA</v>
          </cell>
          <cell r="E267">
            <v>2005</v>
          </cell>
          <cell r="F267">
            <v>4</v>
          </cell>
          <cell r="G267" t="str">
            <v xml:space="preserve">SERVICIOS OPERATIVOS </v>
          </cell>
          <cell r="I267">
            <v>433700</v>
          </cell>
        </row>
        <row r="268">
          <cell r="A268">
            <v>254</v>
          </cell>
          <cell r="B268">
            <v>72270540</v>
          </cell>
          <cell r="C268" t="str">
            <v>RODRIGUEZ ORTIZ ADONAY</v>
          </cell>
          <cell r="D268" t="str">
            <v>BARRANQUILLA</v>
          </cell>
          <cell r="I268">
            <v>325275</v>
          </cell>
        </row>
        <row r="269">
          <cell r="A269">
            <v>255</v>
          </cell>
          <cell r="B269">
            <v>72340429</v>
          </cell>
          <cell r="C269" t="str">
            <v>HOLEGUIN QUEZADA ALEXANDER</v>
          </cell>
          <cell r="D269" t="str">
            <v>BARRANQUILLA</v>
          </cell>
          <cell r="I269">
            <v>325275</v>
          </cell>
        </row>
        <row r="270">
          <cell r="A270">
            <v>256</v>
          </cell>
          <cell r="B270">
            <v>94249920</v>
          </cell>
          <cell r="C270" t="str">
            <v>CEBALLOS REVELO JORGE ARNULFO</v>
          </cell>
          <cell r="D270" t="str">
            <v>MEDELLIN</v>
          </cell>
          <cell r="G270" t="str">
            <v>EPM</v>
          </cell>
          <cell r="I270">
            <v>700000</v>
          </cell>
        </row>
        <row r="271">
          <cell r="A271">
            <v>257</v>
          </cell>
          <cell r="B271">
            <v>4981306</v>
          </cell>
          <cell r="C271" t="str">
            <v>ESTRADA PEDROSO JONNY JESUS</v>
          </cell>
          <cell r="D271" t="str">
            <v>BOGOTA</v>
          </cell>
          <cell r="E271">
            <v>2100</v>
          </cell>
          <cell r="F271">
            <v>145</v>
          </cell>
          <cell r="G271" t="str">
            <v>ZONA FRANCA</v>
          </cell>
          <cell r="I271">
            <v>433700</v>
          </cell>
        </row>
        <row r="272">
          <cell r="A272">
            <v>258</v>
          </cell>
          <cell r="B272">
            <v>43252087</v>
          </cell>
          <cell r="C272" t="str">
            <v>RESTREPO TEJADA DIANA CRISTINA</v>
          </cell>
          <cell r="D272" t="str">
            <v>MEDELLIN</v>
          </cell>
          <cell r="E272">
            <v>2100</v>
          </cell>
          <cell r="F272">
            <v>103</v>
          </cell>
          <cell r="G272" t="str">
            <v>CLINICA CRUZ BLANCA</v>
          </cell>
          <cell r="I272">
            <v>433700</v>
          </cell>
        </row>
        <row r="273">
          <cell r="A273">
            <v>259</v>
          </cell>
          <cell r="B273">
            <v>8834788</v>
          </cell>
          <cell r="C273" t="str">
            <v>YORANGEL ZUNIGA VASQUEZ</v>
          </cell>
          <cell r="D273" t="str">
            <v>BOGOTA</v>
          </cell>
          <cell r="E273">
            <v>2100</v>
          </cell>
          <cell r="F273">
            <v>145</v>
          </cell>
          <cell r="G273" t="str">
            <v>ZONA FRANCA</v>
          </cell>
          <cell r="I273">
            <v>433700</v>
          </cell>
        </row>
        <row r="274">
          <cell r="A274">
            <v>260</v>
          </cell>
          <cell r="B274">
            <v>71368977</v>
          </cell>
          <cell r="C274" t="str">
            <v>ALZATE  BEDOYA PEDRO ANTONIO</v>
          </cell>
          <cell r="D274" t="str">
            <v>MEDELLIN</v>
          </cell>
          <cell r="E274">
            <v>2100</v>
          </cell>
          <cell r="F274">
            <v>114</v>
          </cell>
          <cell r="G274" t="str">
            <v>PARQUE EXPLORA</v>
          </cell>
          <cell r="H274" t="str">
            <v>JUNIO-JULIO</v>
          </cell>
          <cell r="I274">
            <v>433700</v>
          </cell>
          <cell r="CS274">
            <v>4</v>
          </cell>
          <cell r="CT274" t="str">
            <v>HED</v>
          </cell>
          <cell r="CU274">
            <v>8</v>
          </cell>
          <cell r="CV274" t="str">
            <v>HEFD</v>
          </cell>
        </row>
        <row r="275">
          <cell r="A275">
            <v>261</v>
          </cell>
        </row>
        <row r="276">
          <cell r="A276">
            <v>262</v>
          </cell>
        </row>
        <row r="277">
          <cell r="A277">
            <v>263</v>
          </cell>
        </row>
        <row r="278">
          <cell r="A278">
            <v>264</v>
          </cell>
        </row>
        <row r="279">
          <cell r="A279">
            <v>265</v>
          </cell>
        </row>
        <row r="280">
          <cell r="A280">
            <v>266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CD65-0DD5-4415-8C2D-DC156132E384}">
  <sheetPr>
    <pageSetUpPr fitToPage="1"/>
  </sheetPr>
  <dimension ref="A1:L43"/>
  <sheetViews>
    <sheetView showGridLines="0" view="pageBreakPreview" topLeftCell="A21" zoomScaleNormal="100" zoomScaleSheetLayoutView="100" workbookViewId="0">
      <selection activeCell="L41" sqref="L41"/>
    </sheetView>
  </sheetViews>
  <sheetFormatPr baseColWidth="10" defaultColWidth="13.7109375" defaultRowHeight="12.75" x14ac:dyDescent="0.2"/>
  <cols>
    <col min="1" max="1" width="5.28515625" style="1" customWidth="1"/>
    <col min="2" max="2" width="19.140625" style="2" customWidth="1"/>
    <col min="3" max="3" width="10" style="2" customWidth="1"/>
    <col min="4" max="4" width="15.28515625" style="1" customWidth="1"/>
    <col min="5" max="5" width="7.85546875" style="1" customWidth="1"/>
    <col min="6" max="6" width="37.85546875" style="1" customWidth="1"/>
    <col min="7" max="7" width="8.7109375" style="1" customWidth="1"/>
    <col min="8" max="8" width="18.42578125" style="1" customWidth="1"/>
    <col min="9" max="9" width="15.7109375" style="1" customWidth="1"/>
    <col min="10" max="10" width="13.85546875" style="1" customWidth="1"/>
    <col min="11" max="11" width="2.140625" style="1" hidden="1" customWidth="1"/>
    <col min="12" max="12" width="18.28515625" style="9" customWidth="1"/>
    <col min="13" max="256" width="13.7109375" style="1"/>
    <col min="257" max="257" width="5.28515625" style="1" customWidth="1"/>
    <col min="258" max="258" width="14.5703125" style="1" customWidth="1"/>
    <col min="259" max="259" width="10" style="1" customWidth="1"/>
    <col min="260" max="260" width="13.140625" style="1" bestFit="1" customWidth="1"/>
    <col min="261" max="261" width="7.85546875" style="1" customWidth="1"/>
    <col min="262" max="262" width="23.28515625" style="1" customWidth="1"/>
    <col min="263" max="263" width="8.7109375" style="1" customWidth="1"/>
    <col min="264" max="264" width="17.85546875" style="1" customWidth="1"/>
    <col min="265" max="265" width="10.42578125" style="1" customWidth="1"/>
    <col min="266" max="266" width="11" style="1" customWidth="1"/>
    <col min="267" max="267" width="0" style="1" hidden="1" customWidth="1"/>
    <col min="268" max="268" width="14.7109375" style="1" customWidth="1"/>
    <col min="269" max="512" width="13.7109375" style="1"/>
    <col min="513" max="513" width="5.28515625" style="1" customWidth="1"/>
    <col min="514" max="514" width="14.5703125" style="1" customWidth="1"/>
    <col min="515" max="515" width="10" style="1" customWidth="1"/>
    <col min="516" max="516" width="13.140625" style="1" bestFit="1" customWidth="1"/>
    <col min="517" max="517" width="7.85546875" style="1" customWidth="1"/>
    <col min="518" max="518" width="23.28515625" style="1" customWidth="1"/>
    <col min="519" max="519" width="8.7109375" style="1" customWidth="1"/>
    <col min="520" max="520" width="17.85546875" style="1" customWidth="1"/>
    <col min="521" max="521" width="10.42578125" style="1" customWidth="1"/>
    <col min="522" max="522" width="11" style="1" customWidth="1"/>
    <col min="523" max="523" width="0" style="1" hidden="1" customWidth="1"/>
    <col min="524" max="524" width="14.7109375" style="1" customWidth="1"/>
    <col min="525" max="768" width="13.7109375" style="1"/>
    <col min="769" max="769" width="5.28515625" style="1" customWidth="1"/>
    <col min="770" max="770" width="14.5703125" style="1" customWidth="1"/>
    <col min="771" max="771" width="10" style="1" customWidth="1"/>
    <col min="772" max="772" width="13.140625" style="1" bestFit="1" customWidth="1"/>
    <col min="773" max="773" width="7.85546875" style="1" customWidth="1"/>
    <col min="774" max="774" width="23.28515625" style="1" customWidth="1"/>
    <col min="775" max="775" width="8.7109375" style="1" customWidth="1"/>
    <col min="776" max="776" width="17.85546875" style="1" customWidth="1"/>
    <col min="777" max="777" width="10.42578125" style="1" customWidth="1"/>
    <col min="778" max="778" width="11" style="1" customWidth="1"/>
    <col min="779" max="779" width="0" style="1" hidden="1" customWidth="1"/>
    <col min="780" max="780" width="14.7109375" style="1" customWidth="1"/>
    <col min="781" max="1024" width="13.7109375" style="1"/>
    <col min="1025" max="1025" width="5.28515625" style="1" customWidth="1"/>
    <col min="1026" max="1026" width="14.5703125" style="1" customWidth="1"/>
    <col min="1027" max="1027" width="10" style="1" customWidth="1"/>
    <col min="1028" max="1028" width="13.140625" style="1" bestFit="1" customWidth="1"/>
    <col min="1029" max="1029" width="7.85546875" style="1" customWidth="1"/>
    <col min="1030" max="1030" width="23.28515625" style="1" customWidth="1"/>
    <col min="1031" max="1031" width="8.7109375" style="1" customWidth="1"/>
    <col min="1032" max="1032" width="17.85546875" style="1" customWidth="1"/>
    <col min="1033" max="1033" width="10.42578125" style="1" customWidth="1"/>
    <col min="1034" max="1034" width="11" style="1" customWidth="1"/>
    <col min="1035" max="1035" width="0" style="1" hidden="1" customWidth="1"/>
    <col min="1036" max="1036" width="14.7109375" style="1" customWidth="1"/>
    <col min="1037" max="1280" width="13.7109375" style="1"/>
    <col min="1281" max="1281" width="5.28515625" style="1" customWidth="1"/>
    <col min="1282" max="1282" width="14.5703125" style="1" customWidth="1"/>
    <col min="1283" max="1283" width="10" style="1" customWidth="1"/>
    <col min="1284" max="1284" width="13.140625" style="1" bestFit="1" customWidth="1"/>
    <col min="1285" max="1285" width="7.85546875" style="1" customWidth="1"/>
    <col min="1286" max="1286" width="23.28515625" style="1" customWidth="1"/>
    <col min="1287" max="1287" width="8.7109375" style="1" customWidth="1"/>
    <col min="1288" max="1288" width="17.85546875" style="1" customWidth="1"/>
    <col min="1289" max="1289" width="10.42578125" style="1" customWidth="1"/>
    <col min="1290" max="1290" width="11" style="1" customWidth="1"/>
    <col min="1291" max="1291" width="0" style="1" hidden="1" customWidth="1"/>
    <col min="1292" max="1292" width="14.7109375" style="1" customWidth="1"/>
    <col min="1293" max="1536" width="13.7109375" style="1"/>
    <col min="1537" max="1537" width="5.28515625" style="1" customWidth="1"/>
    <col min="1538" max="1538" width="14.5703125" style="1" customWidth="1"/>
    <col min="1539" max="1539" width="10" style="1" customWidth="1"/>
    <col min="1540" max="1540" width="13.140625" style="1" bestFit="1" customWidth="1"/>
    <col min="1541" max="1541" width="7.85546875" style="1" customWidth="1"/>
    <col min="1542" max="1542" width="23.28515625" style="1" customWidth="1"/>
    <col min="1543" max="1543" width="8.7109375" style="1" customWidth="1"/>
    <col min="1544" max="1544" width="17.85546875" style="1" customWidth="1"/>
    <col min="1545" max="1545" width="10.42578125" style="1" customWidth="1"/>
    <col min="1546" max="1546" width="11" style="1" customWidth="1"/>
    <col min="1547" max="1547" width="0" style="1" hidden="1" customWidth="1"/>
    <col min="1548" max="1548" width="14.7109375" style="1" customWidth="1"/>
    <col min="1549" max="1792" width="13.7109375" style="1"/>
    <col min="1793" max="1793" width="5.28515625" style="1" customWidth="1"/>
    <col min="1794" max="1794" width="14.5703125" style="1" customWidth="1"/>
    <col min="1795" max="1795" width="10" style="1" customWidth="1"/>
    <col min="1796" max="1796" width="13.140625" style="1" bestFit="1" customWidth="1"/>
    <col min="1797" max="1797" width="7.85546875" style="1" customWidth="1"/>
    <col min="1798" max="1798" width="23.28515625" style="1" customWidth="1"/>
    <col min="1799" max="1799" width="8.7109375" style="1" customWidth="1"/>
    <col min="1800" max="1800" width="17.85546875" style="1" customWidth="1"/>
    <col min="1801" max="1801" width="10.42578125" style="1" customWidth="1"/>
    <col min="1802" max="1802" width="11" style="1" customWidth="1"/>
    <col min="1803" max="1803" width="0" style="1" hidden="1" customWidth="1"/>
    <col min="1804" max="1804" width="14.7109375" style="1" customWidth="1"/>
    <col min="1805" max="2048" width="13.7109375" style="1"/>
    <col min="2049" max="2049" width="5.28515625" style="1" customWidth="1"/>
    <col min="2050" max="2050" width="14.5703125" style="1" customWidth="1"/>
    <col min="2051" max="2051" width="10" style="1" customWidth="1"/>
    <col min="2052" max="2052" width="13.140625" style="1" bestFit="1" customWidth="1"/>
    <col min="2053" max="2053" width="7.85546875" style="1" customWidth="1"/>
    <col min="2054" max="2054" width="23.28515625" style="1" customWidth="1"/>
    <col min="2055" max="2055" width="8.7109375" style="1" customWidth="1"/>
    <col min="2056" max="2056" width="17.85546875" style="1" customWidth="1"/>
    <col min="2057" max="2057" width="10.42578125" style="1" customWidth="1"/>
    <col min="2058" max="2058" width="11" style="1" customWidth="1"/>
    <col min="2059" max="2059" width="0" style="1" hidden="1" customWidth="1"/>
    <col min="2060" max="2060" width="14.7109375" style="1" customWidth="1"/>
    <col min="2061" max="2304" width="13.7109375" style="1"/>
    <col min="2305" max="2305" width="5.28515625" style="1" customWidth="1"/>
    <col min="2306" max="2306" width="14.5703125" style="1" customWidth="1"/>
    <col min="2307" max="2307" width="10" style="1" customWidth="1"/>
    <col min="2308" max="2308" width="13.140625" style="1" bestFit="1" customWidth="1"/>
    <col min="2309" max="2309" width="7.85546875" style="1" customWidth="1"/>
    <col min="2310" max="2310" width="23.28515625" style="1" customWidth="1"/>
    <col min="2311" max="2311" width="8.7109375" style="1" customWidth="1"/>
    <col min="2312" max="2312" width="17.85546875" style="1" customWidth="1"/>
    <col min="2313" max="2313" width="10.42578125" style="1" customWidth="1"/>
    <col min="2314" max="2314" width="11" style="1" customWidth="1"/>
    <col min="2315" max="2315" width="0" style="1" hidden="1" customWidth="1"/>
    <col min="2316" max="2316" width="14.7109375" style="1" customWidth="1"/>
    <col min="2317" max="2560" width="13.7109375" style="1"/>
    <col min="2561" max="2561" width="5.28515625" style="1" customWidth="1"/>
    <col min="2562" max="2562" width="14.5703125" style="1" customWidth="1"/>
    <col min="2563" max="2563" width="10" style="1" customWidth="1"/>
    <col min="2564" max="2564" width="13.140625" style="1" bestFit="1" customWidth="1"/>
    <col min="2565" max="2565" width="7.85546875" style="1" customWidth="1"/>
    <col min="2566" max="2566" width="23.28515625" style="1" customWidth="1"/>
    <col min="2567" max="2567" width="8.7109375" style="1" customWidth="1"/>
    <col min="2568" max="2568" width="17.85546875" style="1" customWidth="1"/>
    <col min="2569" max="2569" width="10.42578125" style="1" customWidth="1"/>
    <col min="2570" max="2570" width="11" style="1" customWidth="1"/>
    <col min="2571" max="2571" width="0" style="1" hidden="1" customWidth="1"/>
    <col min="2572" max="2572" width="14.7109375" style="1" customWidth="1"/>
    <col min="2573" max="2816" width="13.7109375" style="1"/>
    <col min="2817" max="2817" width="5.28515625" style="1" customWidth="1"/>
    <col min="2818" max="2818" width="14.5703125" style="1" customWidth="1"/>
    <col min="2819" max="2819" width="10" style="1" customWidth="1"/>
    <col min="2820" max="2820" width="13.140625" style="1" bestFit="1" customWidth="1"/>
    <col min="2821" max="2821" width="7.85546875" style="1" customWidth="1"/>
    <col min="2822" max="2822" width="23.28515625" style="1" customWidth="1"/>
    <col min="2823" max="2823" width="8.7109375" style="1" customWidth="1"/>
    <col min="2824" max="2824" width="17.85546875" style="1" customWidth="1"/>
    <col min="2825" max="2825" width="10.42578125" style="1" customWidth="1"/>
    <col min="2826" max="2826" width="11" style="1" customWidth="1"/>
    <col min="2827" max="2827" width="0" style="1" hidden="1" customWidth="1"/>
    <col min="2828" max="2828" width="14.7109375" style="1" customWidth="1"/>
    <col min="2829" max="3072" width="13.7109375" style="1"/>
    <col min="3073" max="3073" width="5.28515625" style="1" customWidth="1"/>
    <col min="3074" max="3074" width="14.5703125" style="1" customWidth="1"/>
    <col min="3075" max="3075" width="10" style="1" customWidth="1"/>
    <col min="3076" max="3076" width="13.140625" style="1" bestFit="1" customWidth="1"/>
    <col min="3077" max="3077" width="7.85546875" style="1" customWidth="1"/>
    <col min="3078" max="3078" width="23.28515625" style="1" customWidth="1"/>
    <col min="3079" max="3079" width="8.7109375" style="1" customWidth="1"/>
    <col min="3080" max="3080" width="17.85546875" style="1" customWidth="1"/>
    <col min="3081" max="3081" width="10.42578125" style="1" customWidth="1"/>
    <col min="3082" max="3082" width="11" style="1" customWidth="1"/>
    <col min="3083" max="3083" width="0" style="1" hidden="1" customWidth="1"/>
    <col min="3084" max="3084" width="14.7109375" style="1" customWidth="1"/>
    <col min="3085" max="3328" width="13.7109375" style="1"/>
    <col min="3329" max="3329" width="5.28515625" style="1" customWidth="1"/>
    <col min="3330" max="3330" width="14.5703125" style="1" customWidth="1"/>
    <col min="3331" max="3331" width="10" style="1" customWidth="1"/>
    <col min="3332" max="3332" width="13.140625" style="1" bestFit="1" customWidth="1"/>
    <col min="3333" max="3333" width="7.85546875" style="1" customWidth="1"/>
    <col min="3334" max="3334" width="23.28515625" style="1" customWidth="1"/>
    <col min="3335" max="3335" width="8.7109375" style="1" customWidth="1"/>
    <col min="3336" max="3336" width="17.85546875" style="1" customWidth="1"/>
    <col min="3337" max="3337" width="10.42578125" style="1" customWidth="1"/>
    <col min="3338" max="3338" width="11" style="1" customWidth="1"/>
    <col min="3339" max="3339" width="0" style="1" hidden="1" customWidth="1"/>
    <col min="3340" max="3340" width="14.7109375" style="1" customWidth="1"/>
    <col min="3341" max="3584" width="13.7109375" style="1"/>
    <col min="3585" max="3585" width="5.28515625" style="1" customWidth="1"/>
    <col min="3586" max="3586" width="14.5703125" style="1" customWidth="1"/>
    <col min="3587" max="3587" width="10" style="1" customWidth="1"/>
    <col min="3588" max="3588" width="13.140625" style="1" bestFit="1" customWidth="1"/>
    <col min="3589" max="3589" width="7.85546875" style="1" customWidth="1"/>
    <col min="3590" max="3590" width="23.28515625" style="1" customWidth="1"/>
    <col min="3591" max="3591" width="8.7109375" style="1" customWidth="1"/>
    <col min="3592" max="3592" width="17.85546875" style="1" customWidth="1"/>
    <col min="3593" max="3593" width="10.42578125" style="1" customWidth="1"/>
    <col min="3594" max="3594" width="11" style="1" customWidth="1"/>
    <col min="3595" max="3595" width="0" style="1" hidden="1" customWidth="1"/>
    <col min="3596" max="3596" width="14.7109375" style="1" customWidth="1"/>
    <col min="3597" max="3840" width="13.7109375" style="1"/>
    <col min="3841" max="3841" width="5.28515625" style="1" customWidth="1"/>
    <col min="3842" max="3842" width="14.5703125" style="1" customWidth="1"/>
    <col min="3843" max="3843" width="10" style="1" customWidth="1"/>
    <col min="3844" max="3844" width="13.140625" style="1" bestFit="1" customWidth="1"/>
    <col min="3845" max="3845" width="7.85546875" style="1" customWidth="1"/>
    <col min="3846" max="3846" width="23.28515625" style="1" customWidth="1"/>
    <col min="3847" max="3847" width="8.7109375" style="1" customWidth="1"/>
    <col min="3848" max="3848" width="17.85546875" style="1" customWidth="1"/>
    <col min="3849" max="3849" width="10.42578125" style="1" customWidth="1"/>
    <col min="3850" max="3850" width="11" style="1" customWidth="1"/>
    <col min="3851" max="3851" width="0" style="1" hidden="1" customWidth="1"/>
    <col min="3852" max="3852" width="14.7109375" style="1" customWidth="1"/>
    <col min="3853" max="4096" width="13.7109375" style="1"/>
    <col min="4097" max="4097" width="5.28515625" style="1" customWidth="1"/>
    <col min="4098" max="4098" width="14.5703125" style="1" customWidth="1"/>
    <col min="4099" max="4099" width="10" style="1" customWidth="1"/>
    <col min="4100" max="4100" width="13.140625" style="1" bestFit="1" customWidth="1"/>
    <col min="4101" max="4101" width="7.85546875" style="1" customWidth="1"/>
    <col min="4102" max="4102" width="23.28515625" style="1" customWidth="1"/>
    <col min="4103" max="4103" width="8.7109375" style="1" customWidth="1"/>
    <col min="4104" max="4104" width="17.85546875" style="1" customWidth="1"/>
    <col min="4105" max="4105" width="10.42578125" style="1" customWidth="1"/>
    <col min="4106" max="4106" width="11" style="1" customWidth="1"/>
    <col min="4107" max="4107" width="0" style="1" hidden="1" customWidth="1"/>
    <col min="4108" max="4108" width="14.7109375" style="1" customWidth="1"/>
    <col min="4109" max="4352" width="13.7109375" style="1"/>
    <col min="4353" max="4353" width="5.28515625" style="1" customWidth="1"/>
    <col min="4354" max="4354" width="14.5703125" style="1" customWidth="1"/>
    <col min="4355" max="4355" width="10" style="1" customWidth="1"/>
    <col min="4356" max="4356" width="13.140625" style="1" bestFit="1" customWidth="1"/>
    <col min="4357" max="4357" width="7.85546875" style="1" customWidth="1"/>
    <col min="4358" max="4358" width="23.28515625" style="1" customWidth="1"/>
    <col min="4359" max="4359" width="8.7109375" style="1" customWidth="1"/>
    <col min="4360" max="4360" width="17.85546875" style="1" customWidth="1"/>
    <col min="4361" max="4361" width="10.42578125" style="1" customWidth="1"/>
    <col min="4362" max="4362" width="11" style="1" customWidth="1"/>
    <col min="4363" max="4363" width="0" style="1" hidden="1" customWidth="1"/>
    <col min="4364" max="4364" width="14.7109375" style="1" customWidth="1"/>
    <col min="4365" max="4608" width="13.7109375" style="1"/>
    <col min="4609" max="4609" width="5.28515625" style="1" customWidth="1"/>
    <col min="4610" max="4610" width="14.5703125" style="1" customWidth="1"/>
    <col min="4611" max="4611" width="10" style="1" customWidth="1"/>
    <col min="4612" max="4612" width="13.140625" style="1" bestFit="1" customWidth="1"/>
    <col min="4613" max="4613" width="7.85546875" style="1" customWidth="1"/>
    <col min="4614" max="4614" width="23.28515625" style="1" customWidth="1"/>
    <col min="4615" max="4615" width="8.7109375" style="1" customWidth="1"/>
    <col min="4616" max="4616" width="17.85546875" style="1" customWidth="1"/>
    <col min="4617" max="4617" width="10.42578125" style="1" customWidth="1"/>
    <col min="4618" max="4618" width="11" style="1" customWidth="1"/>
    <col min="4619" max="4619" width="0" style="1" hidden="1" customWidth="1"/>
    <col min="4620" max="4620" width="14.7109375" style="1" customWidth="1"/>
    <col min="4621" max="4864" width="13.7109375" style="1"/>
    <col min="4865" max="4865" width="5.28515625" style="1" customWidth="1"/>
    <col min="4866" max="4866" width="14.5703125" style="1" customWidth="1"/>
    <col min="4867" max="4867" width="10" style="1" customWidth="1"/>
    <col min="4868" max="4868" width="13.140625" style="1" bestFit="1" customWidth="1"/>
    <col min="4869" max="4869" width="7.85546875" style="1" customWidth="1"/>
    <col min="4870" max="4870" width="23.28515625" style="1" customWidth="1"/>
    <col min="4871" max="4871" width="8.7109375" style="1" customWidth="1"/>
    <col min="4872" max="4872" width="17.85546875" style="1" customWidth="1"/>
    <col min="4873" max="4873" width="10.42578125" style="1" customWidth="1"/>
    <col min="4874" max="4874" width="11" style="1" customWidth="1"/>
    <col min="4875" max="4875" width="0" style="1" hidden="1" customWidth="1"/>
    <col min="4876" max="4876" width="14.7109375" style="1" customWidth="1"/>
    <col min="4877" max="5120" width="13.7109375" style="1"/>
    <col min="5121" max="5121" width="5.28515625" style="1" customWidth="1"/>
    <col min="5122" max="5122" width="14.5703125" style="1" customWidth="1"/>
    <col min="5123" max="5123" width="10" style="1" customWidth="1"/>
    <col min="5124" max="5124" width="13.140625" style="1" bestFit="1" customWidth="1"/>
    <col min="5125" max="5125" width="7.85546875" style="1" customWidth="1"/>
    <col min="5126" max="5126" width="23.28515625" style="1" customWidth="1"/>
    <col min="5127" max="5127" width="8.7109375" style="1" customWidth="1"/>
    <col min="5128" max="5128" width="17.85546875" style="1" customWidth="1"/>
    <col min="5129" max="5129" width="10.42578125" style="1" customWidth="1"/>
    <col min="5130" max="5130" width="11" style="1" customWidth="1"/>
    <col min="5131" max="5131" width="0" style="1" hidden="1" customWidth="1"/>
    <col min="5132" max="5132" width="14.7109375" style="1" customWidth="1"/>
    <col min="5133" max="5376" width="13.7109375" style="1"/>
    <col min="5377" max="5377" width="5.28515625" style="1" customWidth="1"/>
    <col min="5378" max="5378" width="14.5703125" style="1" customWidth="1"/>
    <col min="5379" max="5379" width="10" style="1" customWidth="1"/>
    <col min="5380" max="5380" width="13.140625" style="1" bestFit="1" customWidth="1"/>
    <col min="5381" max="5381" width="7.85546875" style="1" customWidth="1"/>
    <col min="5382" max="5382" width="23.28515625" style="1" customWidth="1"/>
    <col min="5383" max="5383" width="8.7109375" style="1" customWidth="1"/>
    <col min="5384" max="5384" width="17.85546875" style="1" customWidth="1"/>
    <col min="5385" max="5385" width="10.42578125" style="1" customWidth="1"/>
    <col min="5386" max="5386" width="11" style="1" customWidth="1"/>
    <col min="5387" max="5387" width="0" style="1" hidden="1" customWidth="1"/>
    <col min="5388" max="5388" width="14.7109375" style="1" customWidth="1"/>
    <col min="5389" max="5632" width="13.7109375" style="1"/>
    <col min="5633" max="5633" width="5.28515625" style="1" customWidth="1"/>
    <col min="5634" max="5634" width="14.5703125" style="1" customWidth="1"/>
    <col min="5635" max="5635" width="10" style="1" customWidth="1"/>
    <col min="5636" max="5636" width="13.140625" style="1" bestFit="1" customWidth="1"/>
    <col min="5637" max="5637" width="7.85546875" style="1" customWidth="1"/>
    <col min="5638" max="5638" width="23.28515625" style="1" customWidth="1"/>
    <col min="5639" max="5639" width="8.7109375" style="1" customWidth="1"/>
    <col min="5640" max="5640" width="17.85546875" style="1" customWidth="1"/>
    <col min="5641" max="5641" width="10.42578125" style="1" customWidth="1"/>
    <col min="5642" max="5642" width="11" style="1" customWidth="1"/>
    <col min="5643" max="5643" width="0" style="1" hidden="1" customWidth="1"/>
    <col min="5644" max="5644" width="14.7109375" style="1" customWidth="1"/>
    <col min="5645" max="5888" width="13.7109375" style="1"/>
    <col min="5889" max="5889" width="5.28515625" style="1" customWidth="1"/>
    <col min="5890" max="5890" width="14.5703125" style="1" customWidth="1"/>
    <col min="5891" max="5891" width="10" style="1" customWidth="1"/>
    <col min="5892" max="5892" width="13.140625" style="1" bestFit="1" customWidth="1"/>
    <col min="5893" max="5893" width="7.85546875" style="1" customWidth="1"/>
    <col min="5894" max="5894" width="23.28515625" style="1" customWidth="1"/>
    <col min="5895" max="5895" width="8.7109375" style="1" customWidth="1"/>
    <col min="5896" max="5896" width="17.85546875" style="1" customWidth="1"/>
    <col min="5897" max="5897" width="10.42578125" style="1" customWidth="1"/>
    <col min="5898" max="5898" width="11" style="1" customWidth="1"/>
    <col min="5899" max="5899" width="0" style="1" hidden="1" customWidth="1"/>
    <col min="5900" max="5900" width="14.7109375" style="1" customWidth="1"/>
    <col min="5901" max="6144" width="13.7109375" style="1"/>
    <col min="6145" max="6145" width="5.28515625" style="1" customWidth="1"/>
    <col min="6146" max="6146" width="14.5703125" style="1" customWidth="1"/>
    <col min="6147" max="6147" width="10" style="1" customWidth="1"/>
    <col min="6148" max="6148" width="13.140625" style="1" bestFit="1" customWidth="1"/>
    <col min="6149" max="6149" width="7.85546875" style="1" customWidth="1"/>
    <col min="6150" max="6150" width="23.28515625" style="1" customWidth="1"/>
    <col min="6151" max="6151" width="8.7109375" style="1" customWidth="1"/>
    <col min="6152" max="6152" width="17.85546875" style="1" customWidth="1"/>
    <col min="6153" max="6153" width="10.42578125" style="1" customWidth="1"/>
    <col min="6154" max="6154" width="11" style="1" customWidth="1"/>
    <col min="6155" max="6155" width="0" style="1" hidden="1" customWidth="1"/>
    <col min="6156" max="6156" width="14.7109375" style="1" customWidth="1"/>
    <col min="6157" max="6400" width="13.7109375" style="1"/>
    <col min="6401" max="6401" width="5.28515625" style="1" customWidth="1"/>
    <col min="6402" max="6402" width="14.5703125" style="1" customWidth="1"/>
    <col min="6403" max="6403" width="10" style="1" customWidth="1"/>
    <col min="6404" max="6404" width="13.140625" style="1" bestFit="1" customWidth="1"/>
    <col min="6405" max="6405" width="7.85546875" style="1" customWidth="1"/>
    <col min="6406" max="6406" width="23.28515625" style="1" customWidth="1"/>
    <col min="6407" max="6407" width="8.7109375" style="1" customWidth="1"/>
    <col min="6408" max="6408" width="17.85546875" style="1" customWidth="1"/>
    <col min="6409" max="6409" width="10.42578125" style="1" customWidth="1"/>
    <col min="6410" max="6410" width="11" style="1" customWidth="1"/>
    <col min="6411" max="6411" width="0" style="1" hidden="1" customWidth="1"/>
    <col min="6412" max="6412" width="14.7109375" style="1" customWidth="1"/>
    <col min="6413" max="6656" width="13.7109375" style="1"/>
    <col min="6657" max="6657" width="5.28515625" style="1" customWidth="1"/>
    <col min="6658" max="6658" width="14.5703125" style="1" customWidth="1"/>
    <col min="6659" max="6659" width="10" style="1" customWidth="1"/>
    <col min="6660" max="6660" width="13.140625" style="1" bestFit="1" customWidth="1"/>
    <col min="6661" max="6661" width="7.85546875" style="1" customWidth="1"/>
    <col min="6662" max="6662" width="23.28515625" style="1" customWidth="1"/>
    <col min="6663" max="6663" width="8.7109375" style="1" customWidth="1"/>
    <col min="6664" max="6664" width="17.85546875" style="1" customWidth="1"/>
    <col min="6665" max="6665" width="10.42578125" style="1" customWidth="1"/>
    <col min="6666" max="6666" width="11" style="1" customWidth="1"/>
    <col min="6667" max="6667" width="0" style="1" hidden="1" customWidth="1"/>
    <col min="6668" max="6668" width="14.7109375" style="1" customWidth="1"/>
    <col min="6669" max="6912" width="13.7109375" style="1"/>
    <col min="6913" max="6913" width="5.28515625" style="1" customWidth="1"/>
    <col min="6914" max="6914" width="14.5703125" style="1" customWidth="1"/>
    <col min="6915" max="6915" width="10" style="1" customWidth="1"/>
    <col min="6916" max="6916" width="13.140625" style="1" bestFit="1" customWidth="1"/>
    <col min="6917" max="6917" width="7.85546875" style="1" customWidth="1"/>
    <col min="6918" max="6918" width="23.28515625" style="1" customWidth="1"/>
    <col min="6919" max="6919" width="8.7109375" style="1" customWidth="1"/>
    <col min="6920" max="6920" width="17.85546875" style="1" customWidth="1"/>
    <col min="6921" max="6921" width="10.42578125" style="1" customWidth="1"/>
    <col min="6922" max="6922" width="11" style="1" customWidth="1"/>
    <col min="6923" max="6923" width="0" style="1" hidden="1" customWidth="1"/>
    <col min="6924" max="6924" width="14.7109375" style="1" customWidth="1"/>
    <col min="6925" max="7168" width="13.7109375" style="1"/>
    <col min="7169" max="7169" width="5.28515625" style="1" customWidth="1"/>
    <col min="7170" max="7170" width="14.5703125" style="1" customWidth="1"/>
    <col min="7171" max="7171" width="10" style="1" customWidth="1"/>
    <col min="7172" max="7172" width="13.140625" style="1" bestFit="1" customWidth="1"/>
    <col min="7173" max="7173" width="7.85546875" style="1" customWidth="1"/>
    <col min="7174" max="7174" width="23.28515625" style="1" customWidth="1"/>
    <col min="7175" max="7175" width="8.7109375" style="1" customWidth="1"/>
    <col min="7176" max="7176" width="17.85546875" style="1" customWidth="1"/>
    <col min="7177" max="7177" width="10.42578125" style="1" customWidth="1"/>
    <col min="7178" max="7178" width="11" style="1" customWidth="1"/>
    <col min="7179" max="7179" width="0" style="1" hidden="1" customWidth="1"/>
    <col min="7180" max="7180" width="14.7109375" style="1" customWidth="1"/>
    <col min="7181" max="7424" width="13.7109375" style="1"/>
    <col min="7425" max="7425" width="5.28515625" style="1" customWidth="1"/>
    <col min="7426" max="7426" width="14.5703125" style="1" customWidth="1"/>
    <col min="7427" max="7427" width="10" style="1" customWidth="1"/>
    <col min="7428" max="7428" width="13.140625" style="1" bestFit="1" customWidth="1"/>
    <col min="7429" max="7429" width="7.85546875" style="1" customWidth="1"/>
    <col min="7430" max="7430" width="23.28515625" style="1" customWidth="1"/>
    <col min="7431" max="7431" width="8.7109375" style="1" customWidth="1"/>
    <col min="7432" max="7432" width="17.85546875" style="1" customWidth="1"/>
    <col min="7433" max="7433" width="10.42578125" style="1" customWidth="1"/>
    <col min="7434" max="7434" width="11" style="1" customWidth="1"/>
    <col min="7435" max="7435" width="0" style="1" hidden="1" customWidth="1"/>
    <col min="7436" max="7436" width="14.7109375" style="1" customWidth="1"/>
    <col min="7437" max="7680" width="13.7109375" style="1"/>
    <col min="7681" max="7681" width="5.28515625" style="1" customWidth="1"/>
    <col min="7682" max="7682" width="14.5703125" style="1" customWidth="1"/>
    <col min="7683" max="7683" width="10" style="1" customWidth="1"/>
    <col min="7684" max="7684" width="13.140625" style="1" bestFit="1" customWidth="1"/>
    <col min="7685" max="7685" width="7.85546875" style="1" customWidth="1"/>
    <col min="7686" max="7686" width="23.28515625" style="1" customWidth="1"/>
    <col min="7687" max="7687" width="8.7109375" style="1" customWidth="1"/>
    <col min="7688" max="7688" width="17.85546875" style="1" customWidth="1"/>
    <col min="7689" max="7689" width="10.42578125" style="1" customWidth="1"/>
    <col min="7690" max="7690" width="11" style="1" customWidth="1"/>
    <col min="7691" max="7691" width="0" style="1" hidden="1" customWidth="1"/>
    <col min="7692" max="7692" width="14.7109375" style="1" customWidth="1"/>
    <col min="7693" max="7936" width="13.7109375" style="1"/>
    <col min="7937" max="7937" width="5.28515625" style="1" customWidth="1"/>
    <col min="7938" max="7938" width="14.5703125" style="1" customWidth="1"/>
    <col min="7939" max="7939" width="10" style="1" customWidth="1"/>
    <col min="7940" max="7940" width="13.140625" style="1" bestFit="1" customWidth="1"/>
    <col min="7941" max="7941" width="7.85546875" style="1" customWidth="1"/>
    <col min="7942" max="7942" width="23.28515625" style="1" customWidth="1"/>
    <col min="7943" max="7943" width="8.7109375" style="1" customWidth="1"/>
    <col min="7944" max="7944" width="17.85546875" style="1" customWidth="1"/>
    <col min="7945" max="7945" width="10.42578125" style="1" customWidth="1"/>
    <col min="7946" max="7946" width="11" style="1" customWidth="1"/>
    <col min="7947" max="7947" width="0" style="1" hidden="1" customWidth="1"/>
    <col min="7948" max="7948" width="14.7109375" style="1" customWidth="1"/>
    <col min="7949" max="8192" width="13.7109375" style="1"/>
    <col min="8193" max="8193" width="5.28515625" style="1" customWidth="1"/>
    <col min="8194" max="8194" width="14.5703125" style="1" customWidth="1"/>
    <col min="8195" max="8195" width="10" style="1" customWidth="1"/>
    <col min="8196" max="8196" width="13.140625" style="1" bestFit="1" customWidth="1"/>
    <col min="8197" max="8197" width="7.85546875" style="1" customWidth="1"/>
    <col min="8198" max="8198" width="23.28515625" style="1" customWidth="1"/>
    <col min="8199" max="8199" width="8.7109375" style="1" customWidth="1"/>
    <col min="8200" max="8200" width="17.85546875" style="1" customWidth="1"/>
    <col min="8201" max="8201" width="10.42578125" style="1" customWidth="1"/>
    <col min="8202" max="8202" width="11" style="1" customWidth="1"/>
    <col min="8203" max="8203" width="0" style="1" hidden="1" customWidth="1"/>
    <col min="8204" max="8204" width="14.7109375" style="1" customWidth="1"/>
    <col min="8205" max="8448" width="13.7109375" style="1"/>
    <col min="8449" max="8449" width="5.28515625" style="1" customWidth="1"/>
    <col min="8450" max="8450" width="14.5703125" style="1" customWidth="1"/>
    <col min="8451" max="8451" width="10" style="1" customWidth="1"/>
    <col min="8452" max="8452" width="13.140625" style="1" bestFit="1" customWidth="1"/>
    <col min="8453" max="8453" width="7.85546875" style="1" customWidth="1"/>
    <col min="8454" max="8454" width="23.28515625" style="1" customWidth="1"/>
    <col min="8455" max="8455" width="8.7109375" style="1" customWidth="1"/>
    <col min="8456" max="8456" width="17.85546875" style="1" customWidth="1"/>
    <col min="8457" max="8457" width="10.42578125" style="1" customWidth="1"/>
    <col min="8458" max="8458" width="11" style="1" customWidth="1"/>
    <col min="8459" max="8459" width="0" style="1" hidden="1" customWidth="1"/>
    <col min="8460" max="8460" width="14.7109375" style="1" customWidth="1"/>
    <col min="8461" max="8704" width="13.7109375" style="1"/>
    <col min="8705" max="8705" width="5.28515625" style="1" customWidth="1"/>
    <col min="8706" max="8706" width="14.5703125" style="1" customWidth="1"/>
    <col min="8707" max="8707" width="10" style="1" customWidth="1"/>
    <col min="8708" max="8708" width="13.140625" style="1" bestFit="1" customWidth="1"/>
    <col min="8709" max="8709" width="7.85546875" style="1" customWidth="1"/>
    <col min="8710" max="8710" width="23.28515625" style="1" customWidth="1"/>
    <col min="8711" max="8711" width="8.7109375" style="1" customWidth="1"/>
    <col min="8712" max="8712" width="17.85546875" style="1" customWidth="1"/>
    <col min="8713" max="8713" width="10.42578125" style="1" customWidth="1"/>
    <col min="8714" max="8714" width="11" style="1" customWidth="1"/>
    <col min="8715" max="8715" width="0" style="1" hidden="1" customWidth="1"/>
    <col min="8716" max="8716" width="14.7109375" style="1" customWidth="1"/>
    <col min="8717" max="8960" width="13.7109375" style="1"/>
    <col min="8961" max="8961" width="5.28515625" style="1" customWidth="1"/>
    <col min="8962" max="8962" width="14.5703125" style="1" customWidth="1"/>
    <col min="8963" max="8963" width="10" style="1" customWidth="1"/>
    <col min="8964" max="8964" width="13.140625" style="1" bestFit="1" customWidth="1"/>
    <col min="8965" max="8965" width="7.85546875" style="1" customWidth="1"/>
    <col min="8966" max="8966" width="23.28515625" style="1" customWidth="1"/>
    <col min="8967" max="8967" width="8.7109375" style="1" customWidth="1"/>
    <col min="8968" max="8968" width="17.85546875" style="1" customWidth="1"/>
    <col min="8969" max="8969" width="10.42578125" style="1" customWidth="1"/>
    <col min="8970" max="8970" width="11" style="1" customWidth="1"/>
    <col min="8971" max="8971" width="0" style="1" hidden="1" customWidth="1"/>
    <col min="8972" max="8972" width="14.7109375" style="1" customWidth="1"/>
    <col min="8973" max="9216" width="13.7109375" style="1"/>
    <col min="9217" max="9217" width="5.28515625" style="1" customWidth="1"/>
    <col min="9218" max="9218" width="14.5703125" style="1" customWidth="1"/>
    <col min="9219" max="9219" width="10" style="1" customWidth="1"/>
    <col min="9220" max="9220" width="13.140625" style="1" bestFit="1" customWidth="1"/>
    <col min="9221" max="9221" width="7.85546875" style="1" customWidth="1"/>
    <col min="9222" max="9222" width="23.28515625" style="1" customWidth="1"/>
    <col min="9223" max="9223" width="8.7109375" style="1" customWidth="1"/>
    <col min="9224" max="9224" width="17.85546875" style="1" customWidth="1"/>
    <col min="9225" max="9225" width="10.42578125" style="1" customWidth="1"/>
    <col min="9226" max="9226" width="11" style="1" customWidth="1"/>
    <col min="9227" max="9227" width="0" style="1" hidden="1" customWidth="1"/>
    <col min="9228" max="9228" width="14.7109375" style="1" customWidth="1"/>
    <col min="9229" max="9472" width="13.7109375" style="1"/>
    <col min="9473" max="9473" width="5.28515625" style="1" customWidth="1"/>
    <col min="9474" max="9474" width="14.5703125" style="1" customWidth="1"/>
    <col min="9475" max="9475" width="10" style="1" customWidth="1"/>
    <col min="9476" max="9476" width="13.140625" style="1" bestFit="1" customWidth="1"/>
    <col min="9477" max="9477" width="7.85546875" style="1" customWidth="1"/>
    <col min="9478" max="9478" width="23.28515625" style="1" customWidth="1"/>
    <col min="9479" max="9479" width="8.7109375" style="1" customWidth="1"/>
    <col min="9480" max="9480" width="17.85546875" style="1" customWidth="1"/>
    <col min="9481" max="9481" width="10.42578125" style="1" customWidth="1"/>
    <col min="9482" max="9482" width="11" style="1" customWidth="1"/>
    <col min="9483" max="9483" width="0" style="1" hidden="1" customWidth="1"/>
    <col min="9484" max="9484" width="14.7109375" style="1" customWidth="1"/>
    <col min="9485" max="9728" width="13.7109375" style="1"/>
    <col min="9729" max="9729" width="5.28515625" style="1" customWidth="1"/>
    <col min="9730" max="9730" width="14.5703125" style="1" customWidth="1"/>
    <col min="9731" max="9731" width="10" style="1" customWidth="1"/>
    <col min="9732" max="9732" width="13.140625" style="1" bestFit="1" customWidth="1"/>
    <col min="9733" max="9733" width="7.85546875" style="1" customWidth="1"/>
    <col min="9734" max="9734" width="23.28515625" style="1" customWidth="1"/>
    <col min="9735" max="9735" width="8.7109375" style="1" customWidth="1"/>
    <col min="9736" max="9736" width="17.85546875" style="1" customWidth="1"/>
    <col min="9737" max="9737" width="10.42578125" style="1" customWidth="1"/>
    <col min="9738" max="9738" width="11" style="1" customWidth="1"/>
    <col min="9739" max="9739" width="0" style="1" hidden="1" customWidth="1"/>
    <col min="9740" max="9740" width="14.7109375" style="1" customWidth="1"/>
    <col min="9741" max="9984" width="13.7109375" style="1"/>
    <col min="9985" max="9985" width="5.28515625" style="1" customWidth="1"/>
    <col min="9986" max="9986" width="14.5703125" style="1" customWidth="1"/>
    <col min="9987" max="9987" width="10" style="1" customWidth="1"/>
    <col min="9988" max="9988" width="13.140625" style="1" bestFit="1" customWidth="1"/>
    <col min="9989" max="9989" width="7.85546875" style="1" customWidth="1"/>
    <col min="9990" max="9990" width="23.28515625" style="1" customWidth="1"/>
    <col min="9991" max="9991" width="8.7109375" style="1" customWidth="1"/>
    <col min="9992" max="9992" width="17.85546875" style="1" customWidth="1"/>
    <col min="9993" max="9993" width="10.42578125" style="1" customWidth="1"/>
    <col min="9994" max="9994" width="11" style="1" customWidth="1"/>
    <col min="9995" max="9995" width="0" style="1" hidden="1" customWidth="1"/>
    <col min="9996" max="9996" width="14.7109375" style="1" customWidth="1"/>
    <col min="9997" max="10240" width="13.7109375" style="1"/>
    <col min="10241" max="10241" width="5.28515625" style="1" customWidth="1"/>
    <col min="10242" max="10242" width="14.5703125" style="1" customWidth="1"/>
    <col min="10243" max="10243" width="10" style="1" customWidth="1"/>
    <col min="10244" max="10244" width="13.140625" style="1" bestFit="1" customWidth="1"/>
    <col min="10245" max="10245" width="7.85546875" style="1" customWidth="1"/>
    <col min="10246" max="10246" width="23.28515625" style="1" customWidth="1"/>
    <col min="10247" max="10247" width="8.7109375" style="1" customWidth="1"/>
    <col min="10248" max="10248" width="17.85546875" style="1" customWidth="1"/>
    <col min="10249" max="10249" width="10.42578125" style="1" customWidth="1"/>
    <col min="10250" max="10250" width="11" style="1" customWidth="1"/>
    <col min="10251" max="10251" width="0" style="1" hidden="1" customWidth="1"/>
    <col min="10252" max="10252" width="14.7109375" style="1" customWidth="1"/>
    <col min="10253" max="10496" width="13.7109375" style="1"/>
    <col min="10497" max="10497" width="5.28515625" style="1" customWidth="1"/>
    <col min="10498" max="10498" width="14.5703125" style="1" customWidth="1"/>
    <col min="10499" max="10499" width="10" style="1" customWidth="1"/>
    <col min="10500" max="10500" width="13.140625" style="1" bestFit="1" customWidth="1"/>
    <col min="10501" max="10501" width="7.85546875" style="1" customWidth="1"/>
    <col min="10502" max="10502" width="23.28515625" style="1" customWidth="1"/>
    <col min="10503" max="10503" width="8.7109375" style="1" customWidth="1"/>
    <col min="10504" max="10504" width="17.85546875" style="1" customWidth="1"/>
    <col min="10505" max="10505" width="10.42578125" style="1" customWidth="1"/>
    <col min="10506" max="10506" width="11" style="1" customWidth="1"/>
    <col min="10507" max="10507" width="0" style="1" hidden="1" customWidth="1"/>
    <col min="10508" max="10508" width="14.7109375" style="1" customWidth="1"/>
    <col min="10509" max="10752" width="13.7109375" style="1"/>
    <col min="10753" max="10753" width="5.28515625" style="1" customWidth="1"/>
    <col min="10754" max="10754" width="14.5703125" style="1" customWidth="1"/>
    <col min="10755" max="10755" width="10" style="1" customWidth="1"/>
    <col min="10756" max="10756" width="13.140625" style="1" bestFit="1" customWidth="1"/>
    <col min="10757" max="10757" width="7.85546875" style="1" customWidth="1"/>
    <col min="10758" max="10758" width="23.28515625" style="1" customWidth="1"/>
    <col min="10759" max="10759" width="8.7109375" style="1" customWidth="1"/>
    <col min="10760" max="10760" width="17.85546875" style="1" customWidth="1"/>
    <col min="10761" max="10761" width="10.42578125" style="1" customWidth="1"/>
    <col min="10762" max="10762" width="11" style="1" customWidth="1"/>
    <col min="10763" max="10763" width="0" style="1" hidden="1" customWidth="1"/>
    <col min="10764" max="10764" width="14.7109375" style="1" customWidth="1"/>
    <col min="10765" max="11008" width="13.7109375" style="1"/>
    <col min="11009" max="11009" width="5.28515625" style="1" customWidth="1"/>
    <col min="11010" max="11010" width="14.5703125" style="1" customWidth="1"/>
    <col min="11011" max="11011" width="10" style="1" customWidth="1"/>
    <col min="11012" max="11012" width="13.140625" style="1" bestFit="1" customWidth="1"/>
    <col min="11013" max="11013" width="7.85546875" style="1" customWidth="1"/>
    <col min="11014" max="11014" width="23.28515625" style="1" customWidth="1"/>
    <col min="11015" max="11015" width="8.7109375" style="1" customWidth="1"/>
    <col min="11016" max="11016" width="17.85546875" style="1" customWidth="1"/>
    <col min="11017" max="11017" width="10.42578125" style="1" customWidth="1"/>
    <col min="11018" max="11018" width="11" style="1" customWidth="1"/>
    <col min="11019" max="11019" width="0" style="1" hidden="1" customWidth="1"/>
    <col min="11020" max="11020" width="14.7109375" style="1" customWidth="1"/>
    <col min="11021" max="11264" width="13.7109375" style="1"/>
    <col min="11265" max="11265" width="5.28515625" style="1" customWidth="1"/>
    <col min="11266" max="11266" width="14.5703125" style="1" customWidth="1"/>
    <col min="11267" max="11267" width="10" style="1" customWidth="1"/>
    <col min="11268" max="11268" width="13.140625" style="1" bestFit="1" customWidth="1"/>
    <col min="11269" max="11269" width="7.85546875" style="1" customWidth="1"/>
    <col min="11270" max="11270" width="23.28515625" style="1" customWidth="1"/>
    <col min="11271" max="11271" width="8.7109375" style="1" customWidth="1"/>
    <col min="11272" max="11272" width="17.85546875" style="1" customWidth="1"/>
    <col min="11273" max="11273" width="10.42578125" style="1" customWidth="1"/>
    <col min="11274" max="11274" width="11" style="1" customWidth="1"/>
    <col min="11275" max="11275" width="0" style="1" hidden="1" customWidth="1"/>
    <col min="11276" max="11276" width="14.7109375" style="1" customWidth="1"/>
    <col min="11277" max="11520" width="13.7109375" style="1"/>
    <col min="11521" max="11521" width="5.28515625" style="1" customWidth="1"/>
    <col min="11522" max="11522" width="14.5703125" style="1" customWidth="1"/>
    <col min="11523" max="11523" width="10" style="1" customWidth="1"/>
    <col min="11524" max="11524" width="13.140625" style="1" bestFit="1" customWidth="1"/>
    <col min="11525" max="11525" width="7.85546875" style="1" customWidth="1"/>
    <col min="11526" max="11526" width="23.28515625" style="1" customWidth="1"/>
    <col min="11527" max="11527" width="8.7109375" style="1" customWidth="1"/>
    <col min="11528" max="11528" width="17.85546875" style="1" customWidth="1"/>
    <col min="11529" max="11529" width="10.42578125" style="1" customWidth="1"/>
    <col min="11530" max="11530" width="11" style="1" customWidth="1"/>
    <col min="11531" max="11531" width="0" style="1" hidden="1" customWidth="1"/>
    <col min="11532" max="11532" width="14.7109375" style="1" customWidth="1"/>
    <col min="11533" max="11776" width="13.7109375" style="1"/>
    <col min="11777" max="11777" width="5.28515625" style="1" customWidth="1"/>
    <col min="11778" max="11778" width="14.5703125" style="1" customWidth="1"/>
    <col min="11779" max="11779" width="10" style="1" customWidth="1"/>
    <col min="11780" max="11780" width="13.140625" style="1" bestFit="1" customWidth="1"/>
    <col min="11781" max="11781" width="7.85546875" style="1" customWidth="1"/>
    <col min="11782" max="11782" width="23.28515625" style="1" customWidth="1"/>
    <col min="11783" max="11783" width="8.7109375" style="1" customWidth="1"/>
    <col min="11784" max="11784" width="17.85546875" style="1" customWidth="1"/>
    <col min="11785" max="11785" width="10.42578125" style="1" customWidth="1"/>
    <col min="11786" max="11786" width="11" style="1" customWidth="1"/>
    <col min="11787" max="11787" width="0" style="1" hidden="1" customWidth="1"/>
    <col min="11788" max="11788" width="14.7109375" style="1" customWidth="1"/>
    <col min="11789" max="12032" width="13.7109375" style="1"/>
    <col min="12033" max="12033" width="5.28515625" style="1" customWidth="1"/>
    <col min="12034" max="12034" width="14.5703125" style="1" customWidth="1"/>
    <col min="12035" max="12035" width="10" style="1" customWidth="1"/>
    <col min="12036" max="12036" width="13.140625" style="1" bestFit="1" customWidth="1"/>
    <col min="12037" max="12037" width="7.85546875" style="1" customWidth="1"/>
    <col min="12038" max="12038" width="23.28515625" style="1" customWidth="1"/>
    <col min="12039" max="12039" width="8.7109375" style="1" customWidth="1"/>
    <col min="12040" max="12040" width="17.85546875" style="1" customWidth="1"/>
    <col min="12041" max="12041" width="10.42578125" style="1" customWidth="1"/>
    <col min="12042" max="12042" width="11" style="1" customWidth="1"/>
    <col min="12043" max="12043" width="0" style="1" hidden="1" customWidth="1"/>
    <col min="12044" max="12044" width="14.7109375" style="1" customWidth="1"/>
    <col min="12045" max="12288" width="13.7109375" style="1"/>
    <col min="12289" max="12289" width="5.28515625" style="1" customWidth="1"/>
    <col min="12290" max="12290" width="14.5703125" style="1" customWidth="1"/>
    <col min="12291" max="12291" width="10" style="1" customWidth="1"/>
    <col min="12292" max="12292" width="13.140625" style="1" bestFit="1" customWidth="1"/>
    <col min="12293" max="12293" width="7.85546875" style="1" customWidth="1"/>
    <col min="12294" max="12294" width="23.28515625" style="1" customWidth="1"/>
    <col min="12295" max="12295" width="8.7109375" style="1" customWidth="1"/>
    <col min="12296" max="12296" width="17.85546875" style="1" customWidth="1"/>
    <col min="12297" max="12297" width="10.42578125" style="1" customWidth="1"/>
    <col min="12298" max="12298" width="11" style="1" customWidth="1"/>
    <col min="12299" max="12299" width="0" style="1" hidden="1" customWidth="1"/>
    <col min="12300" max="12300" width="14.7109375" style="1" customWidth="1"/>
    <col min="12301" max="12544" width="13.7109375" style="1"/>
    <col min="12545" max="12545" width="5.28515625" style="1" customWidth="1"/>
    <col min="12546" max="12546" width="14.5703125" style="1" customWidth="1"/>
    <col min="12547" max="12547" width="10" style="1" customWidth="1"/>
    <col min="12548" max="12548" width="13.140625" style="1" bestFit="1" customWidth="1"/>
    <col min="12549" max="12549" width="7.85546875" style="1" customWidth="1"/>
    <col min="12550" max="12550" width="23.28515625" style="1" customWidth="1"/>
    <col min="12551" max="12551" width="8.7109375" style="1" customWidth="1"/>
    <col min="12552" max="12552" width="17.85546875" style="1" customWidth="1"/>
    <col min="12553" max="12553" width="10.42578125" style="1" customWidth="1"/>
    <col min="12554" max="12554" width="11" style="1" customWidth="1"/>
    <col min="12555" max="12555" width="0" style="1" hidden="1" customWidth="1"/>
    <col min="12556" max="12556" width="14.7109375" style="1" customWidth="1"/>
    <col min="12557" max="12800" width="13.7109375" style="1"/>
    <col min="12801" max="12801" width="5.28515625" style="1" customWidth="1"/>
    <col min="12802" max="12802" width="14.5703125" style="1" customWidth="1"/>
    <col min="12803" max="12803" width="10" style="1" customWidth="1"/>
    <col min="12804" max="12804" width="13.140625" style="1" bestFit="1" customWidth="1"/>
    <col min="12805" max="12805" width="7.85546875" style="1" customWidth="1"/>
    <col min="12806" max="12806" width="23.28515625" style="1" customWidth="1"/>
    <col min="12807" max="12807" width="8.7109375" style="1" customWidth="1"/>
    <col min="12808" max="12808" width="17.85546875" style="1" customWidth="1"/>
    <col min="12809" max="12809" width="10.42578125" style="1" customWidth="1"/>
    <col min="12810" max="12810" width="11" style="1" customWidth="1"/>
    <col min="12811" max="12811" width="0" style="1" hidden="1" customWidth="1"/>
    <col min="12812" max="12812" width="14.7109375" style="1" customWidth="1"/>
    <col min="12813" max="13056" width="13.7109375" style="1"/>
    <col min="13057" max="13057" width="5.28515625" style="1" customWidth="1"/>
    <col min="13058" max="13058" width="14.5703125" style="1" customWidth="1"/>
    <col min="13059" max="13059" width="10" style="1" customWidth="1"/>
    <col min="13060" max="13060" width="13.140625" style="1" bestFit="1" customWidth="1"/>
    <col min="13061" max="13061" width="7.85546875" style="1" customWidth="1"/>
    <col min="13062" max="13062" width="23.28515625" style="1" customWidth="1"/>
    <col min="13063" max="13063" width="8.7109375" style="1" customWidth="1"/>
    <col min="13064" max="13064" width="17.85546875" style="1" customWidth="1"/>
    <col min="13065" max="13065" width="10.42578125" style="1" customWidth="1"/>
    <col min="13066" max="13066" width="11" style="1" customWidth="1"/>
    <col min="13067" max="13067" width="0" style="1" hidden="1" customWidth="1"/>
    <col min="13068" max="13068" width="14.7109375" style="1" customWidth="1"/>
    <col min="13069" max="13312" width="13.7109375" style="1"/>
    <col min="13313" max="13313" width="5.28515625" style="1" customWidth="1"/>
    <col min="13314" max="13314" width="14.5703125" style="1" customWidth="1"/>
    <col min="13315" max="13315" width="10" style="1" customWidth="1"/>
    <col min="13316" max="13316" width="13.140625" style="1" bestFit="1" customWidth="1"/>
    <col min="13317" max="13317" width="7.85546875" style="1" customWidth="1"/>
    <col min="13318" max="13318" width="23.28515625" style="1" customWidth="1"/>
    <col min="13319" max="13319" width="8.7109375" style="1" customWidth="1"/>
    <col min="13320" max="13320" width="17.85546875" style="1" customWidth="1"/>
    <col min="13321" max="13321" width="10.42578125" style="1" customWidth="1"/>
    <col min="13322" max="13322" width="11" style="1" customWidth="1"/>
    <col min="13323" max="13323" width="0" style="1" hidden="1" customWidth="1"/>
    <col min="13324" max="13324" width="14.7109375" style="1" customWidth="1"/>
    <col min="13325" max="13568" width="13.7109375" style="1"/>
    <col min="13569" max="13569" width="5.28515625" style="1" customWidth="1"/>
    <col min="13570" max="13570" width="14.5703125" style="1" customWidth="1"/>
    <col min="13571" max="13571" width="10" style="1" customWidth="1"/>
    <col min="13572" max="13572" width="13.140625" style="1" bestFit="1" customWidth="1"/>
    <col min="13573" max="13573" width="7.85546875" style="1" customWidth="1"/>
    <col min="13574" max="13574" width="23.28515625" style="1" customWidth="1"/>
    <col min="13575" max="13575" width="8.7109375" style="1" customWidth="1"/>
    <col min="13576" max="13576" width="17.85546875" style="1" customWidth="1"/>
    <col min="13577" max="13577" width="10.42578125" style="1" customWidth="1"/>
    <col min="13578" max="13578" width="11" style="1" customWidth="1"/>
    <col min="13579" max="13579" width="0" style="1" hidden="1" customWidth="1"/>
    <col min="13580" max="13580" width="14.7109375" style="1" customWidth="1"/>
    <col min="13581" max="13824" width="13.7109375" style="1"/>
    <col min="13825" max="13825" width="5.28515625" style="1" customWidth="1"/>
    <col min="13826" max="13826" width="14.5703125" style="1" customWidth="1"/>
    <col min="13827" max="13827" width="10" style="1" customWidth="1"/>
    <col min="13828" max="13828" width="13.140625" style="1" bestFit="1" customWidth="1"/>
    <col min="13829" max="13829" width="7.85546875" style="1" customWidth="1"/>
    <col min="13830" max="13830" width="23.28515625" style="1" customWidth="1"/>
    <col min="13831" max="13831" width="8.7109375" style="1" customWidth="1"/>
    <col min="13832" max="13832" width="17.85546875" style="1" customWidth="1"/>
    <col min="13833" max="13833" width="10.42578125" style="1" customWidth="1"/>
    <col min="13834" max="13834" width="11" style="1" customWidth="1"/>
    <col min="13835" max="13835" width="0" style="1" hidden="1" customWidth="1"/>
    <col min="13836" max="13836" width="14.7109375" style="1" customWidth="1"/>
    <col min="13837" max="14080" width="13.7109375" style="1"/>
    <col min="14081" max="14081" width="5.28515625" style="1" customWidth="1"/>
    <col min="14082" max="14082" width="14.5703125" style="1" customWidth="1"/>
    <col min="14083" max="14083" width="10" style="1" customWidth="1"/>
    <col min="14084" max="14084" width="13.140625" style="1" bestFit="1" customWidth="1"/>
    <col min="14085" max="14085" width="7.85546875" style="1" customWidth="1"/>
    <col min="14086" max="14086" width="23.28515625" style="1" customWidth="1"/>
    <col min="14087" max="14087" width="8.7109375" style="1" customWidth="1"/>
    <col min="14088" max="14088" width="17.85546875" style="1" customWidth="1"/>
    <col min="14089" max="14089" width="10.42578125" style="1" customWidth="1"/>
    <col min="14090" max="14090" width="11" style="1" customWidth="1"/>
    <col min="14091" max="14091" width="0" style="1" hidden="1" customWidth="1"/>
    <col min="14092" max="14092" width="14.7109375" style="1" customWidth="1"/>
    <col min="14093" max="14336" width="13.7109375" style="1"/>
    <col min="14337" max="14337" width="5.28515625" style="1" customWidth="1"/>
    <col min="14338" max="14338" width="14.5703125" style="1" customWidth="1"/>
    <col min="14339" max="14339" width="10" style="1" customWidth="1"/>
    <col min="14340" max="14340" width="13.140625" style="1" bestFit="1" customWidth="1"/>
    <col min="14341" max="14341" width="7.85546875" style="1" customWidth="1"/>
    <col min="14342" max="14342" width="23.28515625" style="1" customWidth="1"/>
    <col min="14343" max="14343" width="8.7109375" style="1" customWidth="1"/>
    <col min="14344" max="14344" width="17.85546875" style="1" customWidth="1"/>
    <col min="14345" max="14345" width="10.42578125" style="1" customWidth="1"/>
    <col min="14346" max="14346" width="11" style="1" customWidth="1"/>
    <col min="14347" max="14347" width="0" style="1" hidden="1" customWidth="1"/>
    <col min="14348" max="14348" width="14.7109375" style="1" customWidth="1"/>
    <col min="14349" max="14592" width="13.7109375" style="1"/>
    <col min="14593" max="14593" width="5.28515625" style="1" customWidth="1"/>
    <col min="14594" max="14594" width="14.5703125" style="1" customWidth="1"/>
    <col min="14595" max="14595" width="10" style="1" customWidth="1"/>
    <col min="14596" max="14596" width="13.140625" style="1" bestFit="1" customWidth="1"/>
    <col min="14597" max="14597" width="7.85546875" style="1" customWidth="1"/>
    <col min="14598" max="14598" width="23.28515625" style="1" customWidth="1"/>
    <col min="14599" max="14599" width="8.7109375" style="1" customWidth="1"/>
    <col min="14600" max="14600" width="17.85546875" style="1" customWidth="1"/>
    <col min="14601" max="14601" width="10.42578125" style="1" customWidth="1"/>
    <col min="14602" max="14602" width="11" style="1" customWidth="1"/>
    <col min="14603" max="14603" width="0" style="1" hidden="1" customWidth="1"/>
    <col min="14604" max="14604" width="14.7109375" style="1" customWidth="1"/>
    <col min="14605" max="14848" width="13.7109375" style="1"/>
    <col min="14849" max="14849" width="5.28515625" style="1" customWidth="1"/>
    <col min="14850" max="14850" width="14.5703125" style="1" customWidth="1"/>
    <col min="14851" max="14851" width="10" style="1" customWidth="1"/>
    <col min="14852" max="14852" width="13.140625" style="1" bestFit="1" customWidth="1"/>
    <col min="14853" max="14853" width="7.85546875" style="1" customWidth="1"/>
    <col min="14854" max="14854" width="23.28515625" style="1" customWidth="1"/>
    <col min="14855" max="14855" width="8.7109375" style="1" customWidth="1"/>
    <col min="14856" max="14856" width="17.85546875" style="1" customWidth="1"/>
    <col min="14857" max="14857" width="10.42578125" style="1" customWidth="1"/>
    <col min="14858" max="14858" width="11" style="1" customWidth="1"/>
    <col min="14859" max="14859" width="0" style="1" hidden="1" customWidth="1"/>
    <col min="14860" max="14860" width="14.7109375" style="1" customWidth="1"/>
    <col min="14861" max="15104" width="13.7109375" style="1"/>
    <col min="15105" max="15105" width="5.28515625" style="1" customWidth="1"/>
    <col min="15106" max="15106" width="14.5703125" style="1" customWidth="1"/>
    <col min="15107" max="15107" width="10" style="1" customWidth="1"/>
    <col min="15108" max="15108" width="13.140625" style="1" bestFit="1" customWidth="1"/>
    <col min="15109" max="15109" width="7.85546875" style="1" customWidth="1"/>
    <col min="15110" max="15110" width="23.28515625" style="1" customWidth="1"/>
    <col min="15111" max="15111" width="8.7109375" style="1" customWidth="1"/>
    <col min="15112" max="15112" width="17.85546875" style="1" customWidth="1"/>
    <col min="15113" max="15113" width="10.42578125" style="1" customWidth="1"/>
    <col min="15114" max="15114" width="11" style="1" customWidth="1"/>
    <col min="15115" max="15115" width="0" style="1" hidden="1" customWidth="1"/>
    <col min="15116" max="15116" width="14.7109375" style="1" customWidth="1"/>
    <col min="15117" max="15360" width="13.7109375" style="1"/>
    <col min="15361" max="15361" width="5.28515625" style="1" customWidth="1"/>
    <col min="15362" max="15362" width="14.5703125" style="1" customWidth="1"/>
    <col min="15363" max="15363" width="10" style="1" customWidth="1"/>
    <col min="15364" max="15364" width="13.140625" style="1" bestFit="1" customWidth="1"/>
    <col min="15365" max="15365" width="7.85546875" style="1" customWidth="1"/>
    <col min="15366" max="15366" width="23.28515625" style="1" customWidth="1"/>
    <col min="15367" max="15367" width="8.7109375" style="1" customWidth="1"/>
    <col min="15368" max="15368" width="17.85546875" style="1" customWidth="1"/>
    <col min="15369" max="15369" width="10.42578125" style="1" customWidth="1"/>
    <col min="15370" max="15370" width="11" style="1" customWidth="1"/>
    <col min="15371" max="15371" width="0" style="1" hidden="1" customWidth="1"/>
    <col min="15372" max="15372" width="14.7109375" style="1" customWidth="1"/>
    <col min="15373" max="15616" width="13.7109375" style="1"/>
    <col min="15617" max="15617" width="5.28515625" style="1" customWidth="1"/>
    <col min="15618" max="15618" width="14.5703125" style="1" customWidth="1"/>
    <col min="15619" max="15619" width="10" style="1" customWidth="1"/>
    <col min="15620" max="15620" width="13.140625" style="1" bestFit="1" customWidth="1"/>
    <col min="15621" max="15621" width="7.85546875" style="1" customWidth="1"/>
    <col min="15622" max="15622" width="23.28515625" style="1" customWidth="1"/>
    <col min="15623" max="15623" width="8.7109375" style="1" customWidth="1"/>
    <col min="15624" max="15624" width="17.85546875" style="1" customWidth="1"/>
    <col min="15625" max="15625" width="10.42578125" style="1" customWidth="1"/>
    <col min="15626" max="15626" width="11" style="1" customWidth="1"/>
    <col min="15627" max="15627" width="0" style="1" hidden="1" customWidth="1"/>
    <col min="15628" max="15628" width="14.7109375" style="1" customWidth="1"/>
    <col min="15629" max="15872" width="13.7109375" style="1"/>
    <col min="15873" max="15873" width="5.28515625" style="1" customWidth="1"/>
    <col min="15874" max="15874" width="14.5703125" style="1" customWidth="1"/>
    <col min="15875" max="15875" width="10" style="1" customWidth="1"/>
    <col min="15876" max="15876" width="13.140625" style="1" bestFit="1" customWidth="1"/>
    <col min="15877" max="15877" width="7.85546875" style="1" customWidth="1"/>
    <col min="15878" max="15878" width="23.28515625" style="1" customWidth="1"/>
    <col min="15879" max="15879" width="8.7109375" style="1" customWidth="1"/>
    <col min="15880" max="15880" width="17.85546875" style="1" customWidth="1"/>
    <col min="15881" max="15881" width="10.42578125" style="1" customWidth="1"/>
    <col min="15882" max="15882" width="11" style="1" customWidth="1"/>
    <col min="15883" max="15883" width="0" style="1" hidden="1" customWidth="1"/>
    <col min="15884" max="15884" width="14.7109375" style="1" customWidth="1"/>
    <col min="15885" max="16128" width="13.7109375" style="1"/>
    <col min="16129" max="16129" width="5.28515625" style="1" customWidth="1"/>
    <col min="16130" max="16130" width="14.5703125" style="1" customWidth="1"/>
    <col min="16131" max="16131" width="10" style="1" customWidth="1"/>
    <col min="16132" max="16132" width="13.140625" style="1" bestFit="1" customWidth="1"/>
    <col min="16133" max="16133" width="7.85546875" style="1" customWidth="1"/>
    <col min="16134" max="16134" width="23.28515625" style="1" customWidth="1"/>
    <col min="16135" max="16135" width="8.7109375" style="1" customWidth="1"/>
    <col min="16136" max="16136" width="17.85546875" style="1" customWidth="1"/>
    <col min="16137" max="16137" width="10.42578125" style="1" customWidth="1"/>
    <col min="16138" max="16138" width="11" style="1" customWidth="1"/>
    <col min="16139" max="16139" width="0" style="1" hidden="1" customWidth="1"/>
    <col min="16140" max="16140" width="14.7109375" style="1" customWidth="1"/>
    <col min="16141" max="16384" width="13.7109375" style="1"/>
  </cols>
  <sheetData>
    <row r="1" spans="1:12" ht="25.5" customHeight="1" thickBot="1" x14ac:dyDescent="0.25">
      <c r="L1" s="3" t="s">
        <v>0</v>
      </c>
    </row>
    <row r="2" spans="1:12" s="4" customFormat="1" ht="39" customHeight="1" thickTop="1" thickBot="1" x14ac:dyDescent="0.25">
      <c r="A2" s="48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50"/>
    </row>
    <row r="3" spans="1:12" ht="16.5" customHeight="1" thickTop="1" x14ac:dyDescent="0.2">
      <c r="B3" s="5"/>
      <c r="C3" s="5"/>
      <c r="D3" s="6"/>
      <c r="E3" s="6"/>
      <c r="F3" s="6"/>
      <c r="G3" s="6"/>
      <c r="H3" s="6"/>
      <c r="I3" s="6"/>
      <c r="J3" s="6"/>
      <c r="L3" s="7"/>
    </row>
    <row r="4" spans="1:12" ht="33" customHeight="1" x14ac:dyDescent="0.2">
      <c r="A4" s="1" t="s">
        <v>2</v>
      </c>
      <c r="D4" s="51" t="s">
        <v>22</v>
      </c>
      <c r="E4" s="51"/>
      <c r="F4" s="51"/>
      <c r="G4" s="8" t="s">
        <v>3</v>
      </c>
      <c r="H4" s="8"/>
      <c r="I4" s="51">
        <v>1044430852</v>
      </c>
      <c r="J4" s="51"/>
      <c r="K4" s="51"/>
      <c r="L4" s="51"/>
    </row>
    <row r="5" spans="1:12" ht="35.25" customHeight="1" x14ac:dyDescent="0.2">
      <c r="A5" s="1" t="s">
        <v>4</v>
      </c>
      <c r="D5" s="52" t="s">
        <v>34</v>
      </c>
      <c r="E5" s="52"/>
      <c r="F5" s="52"/>
      <c r="G5" s="8" t="s">
        <v>5</v>
      </c>
      <c r="H5" s="8"/>
      <c r="I5" s="52" t="s">
        <v>35</v>
      </c>
      <c r="J5" s="52"/>
      <c r="K5" s="52"/>
      <c r="L5" s="52"/>
    </row>
    <row r="6" spans="1:12" ht="27.75" customHeight="1" x14ac:dyDescent="0.2">
      <c r="A6" s="1" t="s">
        <v>6</v>
      </c>
      <c r="D6" s="46">
        <v>120079</v>
      </c>
      <c r="E6" s="46"/>
      <c r="F6" s="46"/>
      <c r="G6" s="8" t="s">
        <v>7</v>
      </c>
      <c r="H6" s="8"/>
      <c r="I6" s="47" t="s">
        <v>24</v>
      </c>
      <c r="J6" s="47"/>
      <c r="K6" s="47"/>
      <c r="L6" s="47"/>
    </row>
    <row r="7" spans="1:12" ht="9" customHeight="1" x14ac:dyDescent="0.2"/>
    <row r="8" spans="1:12" x14ac:dyDescent="0.2">
      <c r="A8" s="10"/>
      <c r="B8" s="11"/>
      <c r="C8" s="11"/>
      <c r="D8" s="12"/>
      <c r="E8" s="12"/>
      <c r="F8" s="12"/>
      <c r="G8" s="12"/>
      <c r="H8" s="12"/>
      <c r="I8" s="12"/>
      <c r="J8" s="12"/>
      <c r="L8" s="12"/>
    </row>
    <row r="9" spans="1:12" ht="22.5" customHeight="1" x14ac:dyDescent="0.2">
      <c r="A9" s="13" t="s">
        <v>8</v>
      </c>
      <c r="B9" s="14" t="s">
        <v>9</v>
      </c>
      <c r="C9" s="53" t="s">
        <v>10</v>
      </c>
      <c r="D9" s="53"/>
      <c r="E9" s="53" t="s">
        <v>11</v>
      </c>
      <c r="F9" s="53"/>
      <c r="G9" s="53" t="s">
        <v>12</v>
      </c>
      <c r="H9" s="53"/>
      <c r="I9" s="53"/>
      <c r="J9" s="15" t="s">
        <v>13</v>
      </c>
      <c r="K9" s="16"/>
      <c r="L9" s="17" t="s">
        <v>14</v>
      </c>
    </row>
    <row r="10" spans="1:12" s="4" customFormat="1" ht="22.5" customHeight="1" x14ac:dyDescent="0.2">
      <c r="A10" s="18">
        <v>1</v>
      </c>
      <c r="B10" s="19">
        <v>46192</v>
      </c>
      <c r="C10" s="54" t="s">
        <v>25</v>
      </c>
      <c r="D10" s="55"/>
      <c r="E10" s="56" t="s">
        <v>27</v>
      </c>
      <c r="F10" s="57"/>
      <c r="G10" s="58" t="s">
        <v>29</v>
      </c>
      <c r="H10" s="59"/>
      <c r="I10" s="60"/>
      <c r="J10" s="18">
        <v>120079</v>
      </c>
      <c r="K10" s="24"/>
      <c r="L10" s="40">
        <v>22200</v>
      </c>
    </row>
    <row r="11" spans="1:12" s="23" customFormat="1" ht="23.25" customHeight="1" x14ac:dyDescent="0.2">
      <c r="A11" s="22">
        <v>2</v>
      </c>
      <c r="B11" s="19">
        <v>46192</v>
      </c>
      <c r="C11" s="54" t="s">
        <v>25</v>
      </c>
      <c r="D11" s="55"/>
      <c r="E11" s="56" t="s">
        <v>28</v>
      </c>
      <c r="F11" s="57"/>
      <c r="G11" s="58" t="s">
        <v>29</v>
      </c>
      <c r="H11" s="59"/>
      <c r="I11" s="60"/>
      <c r="J11" s="18">
        <v>120079</v>
      </c>
      <c r="K11" s="20"/>
      <c r="L11" s="21">
        <v>20700</v>
      </c>
    </row>
    <row r="12" spans="1:12" s="23" customFormat="1" ht="24.75" customHeight="1" x14ac:dyDescent="0.2">
      <c r="A12" s="18">
        <v>3</v>
      </c>
      <c r="B12" s="19">
        <v>46192</v>
      </c>
      <c r="C12" s="54" t="s">
        <v>25</v>
      </c>
      <c r="D12" s="55"/>
      <c r="E12" s="56" t="s">
        <v>28</v>
      </c>
      <c r="F12" s="57"/>
      <c r="G12" s="58" t="s">
        <v>29</v>
      </c>
      <c r="H12" s="59"/>
      <c r="I12" s="60"/>
      <c r="J12" s="18">
        <v>120079</v>
      </c>
      <c r="K12" s="20"/>
      <c r="L12" s="21">
        <v>20700</v>
      </c>
    </row>
    <row r="13" spans="1:12" s="23" customFormat="1" ht="24.75" customHeight="1" x14ac:dyDescent="0.2">
      <c r="A13" s="18">
        <v>4</v>
      </c>
      <c r="B13" s="19">
        <v>46192</v>
      </c>
      <c r="C13" s="54" t="s">
        <v>25</v>
      </c>
      <c r="D13" s="55"/>
      <c r="E13" s="56" t="s">
        <v>27</v>
      </c>
      <c r="F13" s="57"/>
      <c r="G13" s="58" t="s">
        <v>29</v>
      </c>
      <c r="H13" s="59"/>
      <c r="I13" s="60"/>
      <c r="J13" s="18">
        <v>120079</v>
      </c>
      <c r="K13" s="24"/>
      <c r="L13" s="40">
        <v>22200</v>
      </c>
    </row>
    <row r="14" spans="1:12" s="23" customFormat="1" ht="24.75" customHeight="1" x14ac:dyDescent="0.2">
      <c r="A14" s="18">
        <v>5</v>
      </c>
      <c r="B14" s="19">
        <v>46192</v>
      </c>
      <c r="C14" s="61">
        <v>1044430852</v>
      </c>
      <c r="D14" s="61"/>
      <c r="E14" s="56" t="s">
        <v>22</v>
      </c>
      <c r="F14" s="57"/>
      <c r="G14" s="62" t="s">
        <v>36</v>
      </c>
      <c r="H14" s="62"/>
      <c r="I14" s="62"/>
      <c r="J14" s="18">
        <v>120079</v>
      </c>
      <c r="K14" s="20"/>
      <c r="L14" s="21">
        <v>60000</v>
      </c>
    </row>
    <row r="15" spans="1:12" s="23" customFormat="1" ht="24.75" customHeight="1" x14ac:dyDescent="0.2">
      <c r="A15" s="18">
        <v>6</v>
      </c>
      <c r="B15" s="19">
        <v>46192</v>
      </c>
      <c r="C15" s="54">
        <v>1151473452</v>
      </c>
      <c r="D15" s="55"/>
      <c r="E15" s="56" t="s">
        <v>32</v>
      </c>
      <c r="F15" s="57"/>
      <c r="G15" s="62" t="s">
        <v>36</v>
      </c>
      <c r="H15" s="62"/>
      <c r="I15" s="62"/>
      <c r="J15" s="18">
        <v>120079</v>
      </c>
      <c r="K15" s="20"/>
      <c r="L15" s="21">
        <v>60000</v>
      </c>
    </row>
    <row r="16" spans="1:12" s="23" customFormat="1" ht="24.75" customHeight="1" x14ac:dyDescent="0.2">
      <c r="A16" s="18">
        <v>7</v>
      </c>
      <c r="B16" s="19">
        <v>46192</v>
      </c>
      <c r="C16" s="61">
        <v>1051362358</v>
      </c>
      <c r="D16" s="61"/>
      <c r="E16" s="56" t="s">
        <v>33</v>
      </c>
      <c r="F16" s="57"/>
      <c r="G16" s="62" t="s">
        <v>36</v>
      </c>
      <c r="H16" s="62"/>
      <c r="I16" s="62"/>
      <c r="J16" s="18">
        <v>120079</v>
      </c>
      <c r="K16" s="24"/>
      <c r="L16" s="40">
        <v>60000</v>
      </c>
    </row>
    <row r="17" spans="1:12" s="23" customFormat="1" ht="24.75" customHeight="1" x14ac:dyDescent="0.2">
      <c r="A17" s="18">
        <v>8</v>
      </c>
      <c r="B17" s="19"/>
      <c r="C17" s="61"/>
      <c r="D17" s="61"/>
      <c r="E17" s="56"/>
      <c r="F17" s="57"/>
      <c r="G17" s="58"/>
      <c r="H17" s="59"/>
      <c r="I17" s="60"/>
      <c r="J17" s="18"/>
      <c r="K17" s="20"/>
      <c r="L17" s="25"/>
    </row>
    <row r="18" spans="1:12" s="23" customFormat="1" ht="24.75" customHeight="1" x14ac:dyDescent="0.2">
      <c r="A18" s="18">
        <v>9</v>
      </c>
      <c r="B18" s="43"/>
      <c r="C18" s="61"/>
      <c r="D18" s="61"/>
      <c r="E18" s="61"/>
      <c r="F18" s="61"/>
      <c r="G18" s="62"/>
      <c r="H18" s="62"/>
      <c r="I18" s="62"/>
      <c r="J18" s="18"/>
      <c r="K18" s="24"/>
      <c r="L18" s="40"/>
    </row>
    <row r="19" spans="1:12" s="23" customFormat="1" ht="24.75" customHeight="1" x14ac:dyDescent="0.2">
      <c r="A19" s="18">
        <v>11</v>
      </c>
      <c r="B19" s="19"/>
      <c r="C19" s="61"/>
      <c r="D19" s="61"/>
      <c r="E19" s="56"/>
      <c r="F19" s="57"/>
      <c r="G19" s="62"/>
      <c r="H19" s="62"/>
      <c r="I19" s="62"/>
      <c r="J19" s="18"/>
      <c r="K19" s="24"/>
      <c r="L19" s="40"/>
    </row>
    <row r="20" spans="1:12" s="23" customFormat="1" ht="24.75" customHeight="1" x14ac:dyDescent="0.2">
      <c r="A20" s="18">
        <v>11</v>
      </c>
      <c r="B20" s="19"/>
      <c r="C20" s="61"/>
      <c r="D20" s="61"/>
      <c r="E20" s="56"/>
      <c r="F20" s="57"/>
      <c r="G20" s="62"/>
      <c r="H20" s="62"/>
      <c r="I20" s="62"/>
      <c r="J20" s="18"/>
      <c r="K20" s="20"/>
      <c r="L20" s="21"/>
    </row>
    <row r="21" spans="1:12" s="23" customFormat="1" ht="24.75" customHeight="1" x14ac:dyDescent="0.2">
      <c r="A21" s="18">
        <v>12</v>
      </c>
      <c r="B21" s="19"/>
      <c r="C21" s="61"/>
      <c r="D21" s="61"/>
      <c r="E21" s="56"/>
      <c r="F21" s="57"/>
      <c r="G21" s="62"/>
      <c r="H21" s="62"/>
      <c r="I21" s="62"/>
      <c r="J21" s="18"/>
      <c r="K21" s="20"/>
      <c r="L21" s="21"/>
    </row>
    <row r="22" spans="1:12" s="23" customFormat="1" ht="24.75" customHeight="1" x14ac:dyDescent="0.2">
      <c r="A22" s="18">
        <v>13</v>
      </c>
      <c r="B22" s="19"/>
      <c r="C22" s="61"/>
      <c r="D22" s="61"/>
      <c r="E22" s="56"/>
      <c r="F22" s="57"/>
      <c r="G22" s="62"/>
      <c r="H22" s="62"/>
      <c r="I22" s="62"/>
      <c r="J22" s="18"/>
      <c r="K22" s="24"/>
      <c r="L22" s="40"/>
    </row>
    <row r="23" spans="1:12" s="23" customFormat="1" ht="24.75" customHeight="1" x14ac:dyDescent="0.2">
      <c r="A23" s="18">
        <v>14</v>
      </c>
      <c r="B23" s="19"/>
      <c r="C23" s="61"/>
      <c r="D23" s="61"/>
      <c r="E23" s="56"/>
      <c r="F23" s="57"/>
      <c r="G23" s="58"/>
      <c r="H23" s="59"/>
      <c r="I23" s="60"/>
      <c r="J23" s="18"/>
      <c r="K23" s="20"/>
      <c r="L23" s="25"/>
    </row>
    <row r="24" spans="1:12" s="23" customFormat="1" ht="24.75" customHeight="1" x14ac:dyDescent="0.2">
      <c r="A24" s="18">
        <v>15</v>
      </c>
      <c r="B24" s="19"/>
      <c r="C24" s="54"/>
      <c r="D24" s="55"/>
      <c r="E24" s="56"/>
      <c r="F24" s="57"/>
      <c r="G24" s="58"/>
      <c r="H24" s="59"/>
      <c r="I24" s="60"/>
      <c r="J24" s="18"/>
      <c r="K24" s="24"/>
      <c r="L24" s="25"/>
    </row>
    <row r="25" spans="1:12" s="23" customFormat="1" ht="24.75" customHeight="1" x14ac:dyDescent="0.2">
      <c r="A25" s="18">
        <v>16</v>
      </c>
      <c r="B25" s="19"/>
      <c r="C25" s="54"/>
      <c r="D25" s="55"/>
      <c r="E25" s="56"/>
      <c r="F25" s="57"/>
      <c r="G25" s="58"/>
      <c r="H25" s="59"/>
      <c r="I25" s="60"/>
      <c r="J25" s="18"/>
      <c r="K25" s="24"/>
      <c r="L25" s="25"/>
    </row>
    <row r="26" spans="1:12" s="23" customFormat="1" ht="24.75" customHeight="1" x14ac:dyDescent="0.2">
      <c r="A26" s="18">
        <v>17</v>
      </c>
      <c r="B26" s="43"/>
      <c r="C26" s="54"/>
      <c r="D26" s="55"/>
      <c r="E26" s="56"/>
      <c r="F26" s="57"/>
      <c r="G26" s="58"/>
      <c r="H26" s="59"/>
      <c r="I26" s="60"/>
      <c r="J26" s="18"/>
      <c r="K26" s="24"/>
      <c r="L26" s="25"/>
    </row>
    <row r="27" spans="1:12" s="23" customFormat="1" ht="24.75" customHeight="1" x14ac:dyDescent="0.2">
      <c r="A27" s="18">
        <v>18</v>
      </c>
      <c r="B27" s="19"/>
      <c r="C27" s="54"/>
      <c r="D27" s="55"/>
      <c r="E27" s="56"/>
      <c r="F27" s="57"/>
      <c r="G27" s="58"/>
      <c r="H27" s="59"/>
      <c r="I27" s="60"/>
      <c r="J27" s="18"/>
      <c r="K27" s="24"/>
      <c r="L27" s="25"/>
    </row>
    <row r="28" spans="1:12" s="23" customFormat="1" ht="24.75" customHeight="1" x14ac:dyDescent="0.2">
      <c r="A28" s="18">
        <v>19</v>
      </c>
      <c r="B28" s="19"/>
      <c r="C28" s="54"/>
      <c r="D28" s="55"/>
      <c r="E28" s="56"/>
      <c r="F28" s="57"/>
      <c r="G28" s="58"/>
      <c r="H28" s="59"/>
      <c r="I28" s="60"/>
      <c r="J28" s="18"/>
      <c r="K28" s="24"/>
      <c r="L28" s="25"/>
    </row>
    <row r="29" spans="1:12" s="23" customFormat="1" ht="24.75" customHeight="1" x14ac:dyDescent="0.2">
      <c r="A29" s="18">
        <v>20</v>
      </c>
      <c r="B29" s="19"/>
      <c r="C29" s="54"/>
      <c r="D29" s="55"/>
      <c r="E29" s="56"/>
      <c r="F29" s="57"/>
      <c r="G29" s="58"/>
      <c r="H29" s="59"/>
      <c r="I29" s="60"/>
      <c r="J29" s="18"/>
      <c r="K29" s="24"/>
      <c r="L29" s="25"/>
    </row>
    <row r="30" spans="1:12" s="23" customFormat="1" ht="24.75" customHeight="1" x14ac:dyDescent="0.2">
      <c r="A30" s="18">
        <v>21</v>
      </c>
      <c r="B30" s="19"/>
      <c r="C30" s="54"/>
      <c r="D30" s="55"/>
      <c r="E30" s="56"/>
      <c r="F30" s="57"/>
      <c r="G30" s="58"/>
      <c r="H30" s="59"/>
      <c r="I30" s="60"/>
      <c r="J30" s="18"/>
      <c r="K30" s="24"/>
      <c r="L30" s="25"/>
    </row>
    <row r="31" spans="1:12" s="23" customFormat="1" ht="24.75" customHeight="1" x14ac:dyDescent="0.2">
      <c r="A31" s="18">
        <v>22</v>
      </c>
      <c r="B31" s="19"/>
      <c r="C31" s="54"/>
      <c r="D31" s="55"/>
      <c r="E31" s="56"/>
      <c r="F31" s="57"/>
      <c r="G31" s="58"/>
      <c r="H31" s="59"/>
      <c r="I31" s="60"/>
      <c r="J31" s="18"/>
      <c r="K31" s="24"/>
      <c r="L31" s="25"/>
    </row>
    <row r="32" spans="1:12" s="23" customFormat="1" ht="24.75" customHeight="1" x14ac:dyDescent="0.2">
      <c r="A32" s="18">
        <v>23</v>
      </c>
      <c r="B32" s="19"/>
      <c r="C32" s="61"/>
      <c r="D32" s="61"/>
      <c r="E32" s="56"/>
      <c r="F32" s="57"/>
      <c r="G32" s="58"/>
      <c r="H32" s="59"/>
      <c r="I32" s="60"/>
      <c r="J32" s="18"/>
      <c r="K32" s="24"/>
      <c r="L32" s="25"/>
    </row>
    <row r="33" spans="1:12" s="23" customFormat="1" ht="24.75" customHeight="1" x14ac:dyDescent="0.2">
      <c r="A33" s="18">
        <v>24</v>
      </c>
      <c r="B33" s="19"/>
      <c r="C33" s="61"/>
      <c r="D33" s="61"/>
      <c r="E33" s="56"/>
      <c r="F33" s="57"/>
      <c r="G33" s="62"/>
      <c r="H33" s="62"/>
      <c r="I33" s="62"/>
      <c r="J33" s="18"/>
      <c r="K33" s="24"/>
      <c r="L33" s="25"/>
    </row>
    <row r="34" spans="1:12" s="23" customFormat="1" ht="24.75" customHeight="1" x14ac:dyDescent="0.2">
      <c r="A34" s="18">
        <v>25</v>
      </c>
      <c r="B34" s="19"/>
      <c r="C34" s="61"/>
      <c r="D34" s="61"/>
      <c r="E34" s="56"/>
      <c r="F34" s="57"/>
      <c r="G34" s="62"/>
      <c r="H34" s="62"/>
      <c r="I34" s="62"/>
      <c r="J34" s="18"/>
      <c r="K34" s="24"/>
      <c r="L34" s="25"/>
    </row>
    <row r="35" spans="1:12" s="23" customFormat="1" ht="24.75" customHeight="1" x14ac:dyDescent="0.2">
      <c r="A35" s="18">
        <v>26</v>
      </c>
      <c r="B35" s="19"/>
      <c r="C35" s="61"/>
      <c r="D35" s="61"/>
      <c r="E35" s="56"/>
      <c r="F35" s="57"/>
      <c r="G35" s="62"/>
      <c r="H35" s="62"/>
      <c r="I35" s="62"/>
      <c r="J35" s="18"/>
      <c r="K35" s="24"/>
      <c r="L35" s="25"/>
    </row>
    <row r="36" spans="1:12" ht="6.75" customHeight="1" x14ac:dyDescent="0.2">
      <c r="G36" s="26"/>
      <c r="L36" s="27"/>
    </row>
    <row r="37" spans="1:12" ht="17.25" customHeight="1" x14ac:dyDescent="0.2">
      <c r="A37" s="2"/>
      <c r="B37" s="1"/>
      <c r="C37" s="1"/>
      <c r="D37" s="12"/>
      <c r="E37" s="12"/>
      <c r="G37" s="28" t="s">
        <v>15</v>
      </c>
      <c r="H37" s="10"/>
      <c r="J37" s="29"/>
      <c r="L37" s="30">
        <f>SUM(L10:L35)</f>
        <v>265800</v>
      </c>
    </row>
    <row r="38" spans="1:12" ht="17.25" customHeight="1" x14ac:dyDescent="0.4">
      <c r="A38" s="10" t="s">
        <v>16</v>
      </c>
      <c r="C38" s="63" t="s">
        <v>23</v>
      </c>
      <c r="D38" s="63"/>
      <c r="E38" s="63"/>
      <c r="G38" s="28" t="s">
        <v>17</v>
      </c>
      <c r="H38" s="10"/>
      <c r="J38" s="33"/>
      <c r="L38" s="34" t="e">
        <f>+#REF!+350000</f>
        <v>#REF!</v>
      </c>
    </row>
    <row r="39" spans="1:12" ht="13.5" customHeight="1" x14ac:dyDescent="0.2">
      <c r="A39" s="10"/>
      <c r="G39" s="28"/>
      <c r="H39" s="10"/>
      <c r="J39" s="33"/>
      <c r="L39" s="34"/>
    </row>
    <row r="40" spans="1:12" ht="17.25" customHeight="1" x14ac:dyDescent="0.2">
      <c r="A40" s="10" t="s">
        <v>18</v>
      </c>
      <c r="C40" s="31"/>
      <c r="D40" s="32"/>
      <c r="E40" s="32"/>
      <c r="G40" s="28" t="s">
        <v>19</v>
      </c>
      <c r="H40" s="10"/>
      <c r="J40" s="33"/>
      <c r="L40" s="41">
        <v>19223</v>
      </c>
    </row>
    <row r="41" spans="1:12" ht="17.25" customHeight="1" x14ac:dyDescent="0.2">
      <c r="B41" s="1"/>
      <c r="C41" s="1"/>
      <c r="G41" s="35" t="s">
        <v>20</v>
      </c>
      <c r="H41" s="36"/>
      <c r="I41" s="32"/>
      <c r="J41" s="37"/>
      <c r="K41" s="38"/>
      <c r="L41" s="45" t="e">
        <f>+L37-L38</f>
        <v>#REF!</v>
      </c>
    </row>
    <row r="42" spans="1:12" x14ac:dyDescent="0.2">
      <c r="A42" s="10" t="s">
        <v>21</v>
      </c>
      <c r="C42" s="31"/>
      <c r="D42" s="32"/>
      <c r="E42" s="32"/>
    </row>
    <row r="43" spans="1:12" ht="16.5" customHeight="1" x14ac:dyDescent="0.2">
      <c r="B43" s="1"/>
      <c r="C43" s="1"/>
      <c r="L43" s="39"/>
    </row>
  </sheetData>
  <mergeCells count="89">
    <mergeCell ref="C35:D35"/>
    <mergeCell ref="E35:F35"/>
    <mergeCell ref="G35:I35"/>
    <mergeCell ref="C38:E38"/>
    <mergeCell ref="C33:D33"/>
    <mergeCell ref="E33:F33"/>
    <mergeCell ref="G33:I33"/>
    <mergeCell ref="C34:D34"/>
    <mergeCell ref="E34:F34"/>
    <mergeCell ref="G34:I34"/>
    <mergeCell ref="C31:D31"/>
    <mergeCell ref="E31:F31"/>
    <mergeCell ref="G31:I31"/>
    <mergeCell ref="C32:D32"/>
    <mergeCell ref="E32:F32"/>
    <mergeCell ref="G32:I32"/>
    <mergeCell ref="C29:D29"/>
    <mergeCell ref="E29:F29"/>
    <mergeCell ref="G29:I29"/>
    <mergeCell ref="C30:D30"/>
    <mergeCell ref="E30:F30"/>
    <mergeCell ref="G30:I30"/>
    <mergeCell ref="C27:D27"/>
    <mergeCell ref="E27:F27"/>
    <mergeCell ref="G27:I27"/>
    <mergeCell ref="C28:D28"/>
    <mergeCell ref="E28:F28"/>
    <mergeCell ref="G28:I28"/>
    <mergeCell ref="C25:D25"/>
    <mergeCell ref="E25:F25"/>
    <mergeCell ref="G25:I25"/>
    <mergeCell ref="C26:D26"/>
    <mergeCell ref="E26:F26"/>
    <mergeCell ref="G26:I26"/>
    <mergeCell ref="C23:D23"/>
    <mergeCell ref="E23:F23"/>
    <mergeCell ref="G23:I23"/>
    <mergeCell ref="C24:D24"/>
    <mergeCell ref="E24:F24"/>
    <mergeCell ref="G24:I24"/>
    <mergeCell ref="C21:D21"/>
    <mergeCell ref="E21:F21"/>
    <mergeCell ref="G21:I21"/>
    <mergeCell ref="C22:D22"/>
    <mergeCell ref="E22:F22"/>
    <mergeCell ref="G22:I22"/>
    <mergeCell ref="C19:D19"/>
    <mergeCell ref="E19:F19"/>
    <mergeCell ref="G19:I19"/>
    <mergeCell ref="C20:D20"/>
    <mergeCell ref="E20:F20"/>
    <mergeCell ref="G20:I20"/>
    <mergeCell ref="C17:D17"/>
    <mergeCell ref="E17:F17"/>
    <mergeCell ref="G17:I17"/>
    <mergeCell ref="C18:D18"/>
    <mergeCell ref="E18:F18"/>
    <mergeCell ref="G18:I18"/>
    <mergeCell ref="C15:D15"/>
    <mergeCell ref="E15:F15"/>
    <mergeCell ref="G15:I15"/>
    <mergeCell ref="C16:D16"/>
    <mergeCell ref="E16:F16"/>
    <mergeCell ref="G16:I16"/>
    <mergeCell ref="C13:D13"/>
    <mergeCell ref="E13:F13"/>
    <mergeCell ref="G13:I13"/>
    <mergeCell ref="C14:D14"/>
    <mergeCell ref="E14:F14"/>
    <mergeCell ref="G14:I14"/>
    <mergeCell ref="C11:D11"/>
    <mergeCell ref="E11:F11"/>
    <mergeCell ref="G11:I11"/>
    <mergeCell ref="C12:D12"/>
    <mergeCell ref="E12:F12"/>
    <mergeCell ref="G12:I12"/>
    <mergeCell ref="C9:D9"/>
    <mergeCell ref="E9:F9"/>
    <mergeCell ref="G9:I9"/>
    <mergeCell ref="C10:D10"/>
    <mergeCell ref="E10:F10"/>
    <mergeCell ref="G10:I10"/>
    <mergeCell ref="D6:F6"/>
    <mergeCell ref="I6:L6"/>
    <mergeCell ref="A2:L2"/>
    <mergeCell ref="D4:F4"/>
    <mergeCell ref="I4:L4"/>
    <mergeCell ref="D5:F5"/>
    <mergeCell ref="I5:L5"/>
  </mergeCells>
  <printOptions horizontalCentered="1"/>
  <pageMargins left="0.7" right="0.7" top="0.75" bottom="0.75" header="0.3" footer="0.3"/>
  <pageSetup paperSize="9" scale="53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832D-19FD-4A9C-87F1-8345776029FC}">
  <sheetPr>
    <pageSetUpPr fitToPage="1"/>
  </sheetPr>
  <dimension ref="A1:L43"/>
  <sheetViews>
    <sheetView showGridLines="0" tabSelected="1" view="pageBreakPreview" zoomScaleNormal="100" zoomScaleSheetLayoutView="100" workbookViewId="0">
      <selection activeCell="N6" sqref="N6"/>
    </sheetView>
  </sheetViews>
  <sheetFormatPr baseColWidth="10" defaultColWidth="13.7109375" defaultRowHeight="12.75" x14ac:dyDescent="0.2"/>
  <cols>
    <col min="1" max="1" width="5.28515625" style="1" customWidth="1"/>
    <col min="2" max="2" width="19.140625" style="2" customWidth="1"/>
    <col min="3" max="3" width="10" style="2" customWidth="1"/>
    <col min="4" max="4" width="15.28515625" style="1" customWidth="1"/>
    <col min="5" max="5" width="7.85546875" style="1" customWidth="1"/>
    <col min="6" max="6" width="37.85546875" style="1" customWidth="1"/>
    <col min="7" max="7" width="8.7109375" style="1" customWidth="1"/>
    <col min="8" max="8" width="18.42578125" style="1" customWidth="1"/>
    <col min="9" max="9" width="15.7109375" style="1" customWidth="1"/>
    <col min="10" max="10" width="13.85546875" style="1" customWidth="1"/>
    <col min="11" max="11" width="2.140625" style="1" hidden="1" customWidth="1"/>
    <col min="12" max="12" width="18.28515625" style="9" customWidth="1"/>
    <col min="13" max="256" width="13.7109375" style="1"/>
    <col min="257" max="257" width="5.28515625" style="1" customWidth="1"/>
    <col min="258" max="258" width="14.5703125" style="1" customWidth="1"/>
    <col min="259" max="259" width="10" style="1" customWidth="1"/>
    <col min="260" max="260" width="13.140625" style="1" bestFit="1" customWidth="1"/>
    <col min="261" max="261" width="7.85546875" style="1" customWidth="1"/>
    <col min="262" max="262" width="23.28515625" style="1" customWidth="1"/>
    <col min="263" max="263" width="8.7109375" style="1" customWidth="1"/>
    <col min="264" max="264" width="17.85546875" style="1" customWidth="1"/>
    <col min="265" max="265" width="10.42578125" style="1" customWidth="1"/>
    <col min="266" max="266" width="11" style="1" customWidth="1"/>
    <col min="267" max="267" width="0" style="1" hidden="1" customWidth="1"/>
    <col min="268" max="268" width="14.7109375" style="1" customWidth="1"/>
    <col min="269" max="512" width="13.7109375" style="1"/>
    <col min="513" max="513" width="5.28515625" style="1" customWidth="1"/>
    <col min="514" max="514" width="14.5703125" style="1" customWidth="1"/>
    <col min="515" max="515" width="10" style="1" customWidth="1"/>
    <col min="516" max="516" width="13.140625" style="1" bestFit="1" customWidth="1"/>
    <col min="517" max="517" width="7.85546875" style="1" customWidth="1"/>
    <col min="518" max="518" width="23.28515625" style="1" customWidth="1"/>
    <col min="519" max="519" width="8.7109375" style="1" customWidth="1"/>
    <col min="520" max="520" width="17.85546875" style="1" customWidth="1"/>
    <col min="521" max="521" width="10.42578125" style="1" customWidth="1"/>
    <col min="522" max="522" width="11" style="1" customWidth="1"/>
    <col min="523" max="523" width="0" style="1" hidden="1" customWidth="1"/>
    <col min="524" max="524" width="14.7109375" style="1" customWidth="1"/>
    <col min="525" max="768" width="13.7109375" style="1"/>
    <col min="769" max="769" width="5.28515625" style="1" customWidth="1"/>
    <col min="770" max="770" width="14.5703125" style="1" customWidth="1"/>
    <col min="771" max="771" width="10" style="1" customWidth="1"/>
    <col min="772" max="772" width="13.140625" style="1" bestFit="1" customWidth="1"/>
    <col min="773" max="773" width="7.85546875" style="1" customWidth="1"/>
    <col min="774" max="774" width="23.28515625" style="1" customWidth="1"/>
    <col min="775" max="775" width="8.7109375" style="1" customWidth="1"/>
    <col min="776" max="776" width="17.85546875" style="1" customWidth="1"/>
    <col min="777" max="777" width="10.42578125" style="1" customWidth="1"/>
    <col min="778" max="778" width="11" style="1" customWidth="1"/>
    <col min="779" max="779" width="0" style="1" hidden="1" customWidth="1"/>
    <col min="780" max="780" width="14.7109375" style="1" customWidth="1"/>
    <col min="781" max="1024" width="13.7109375" style="1"/>
    <col min="1025" max="1025" width="5.28515625" style="1" customWidth="1"/>
    <col min="1026" max="1026" width="14.5703125" style="1" customWidth="1"/>
    <col min="1027" max="1027" width="10" style="1" customWidth="1"/>
    <col min="1028" max="1028" width="13.140625" style="1" bestFit="1" customWidth="1"/>
    <col min="1029" max="1029" width="7.85546875" style="1" customWidth="1"/>
    <col min="1030" max="1030" width="23.28515625" style="1" customWidth="1"/>
    <col min="1031" max="1031" width="8.7109375" style="1" customWidth="1"/>
    <col min="1032" max="1032" width="17.85546875" style="1" customWidth="1"/>
    <col min="1033" max="1033" width="10.42578125" style="1" customWidth="1"/>
    <col min="1034" max="1034" width="11" style="1" customWidth="1"/>
    <col min="1035" max="1035" width="0" style="1" hidden="1" customWidth="1"/>
    <col min="1036" max="1036" width="14.7109375" style="1" customWidth="1"/>
    <col min="1037" max="1280" width="13.7109375" style="1"/>
    <col min="1281" max="1281" width="5.28515625" style="1" customWidth="1"/>
    <col min="1282" max="1282" width="14.5703125" style="1" customWidth="1"/>
    <col min="1283" max="1283" width="10" style="1" customWidth="1"/>
    <col min="1284" max="1284" width="13.140625" style="1" bestFit="1" customWidth="1"/>
    <col min="1285" max="1285" width="7.85546875" style="1" customWidth="1"/>
    <col min="1286" max="1286" width="23.28515625" style="1" customWidth="1"/>
    <col min="1287" max="1287" width="8.7109375" style="1" customWidth="1"/>
    <col min="1288" max="1288" width="17.85546875" style="1" customWidth="1"/>
    <col min="1289" max="1289" width="10.42578125" style="1" customWidth="1"/>
    <col min="1290" max="1290" width="11" style="1" customWidth="1"/>
    <col min="1291" max="1291" width="0" style="1" hidden="1" customWidth="1"/>
    <col min="1292" max="1292" width="14.7109375" style="1" customWidth="1"/>
    <col min="1293" max="1536" width="13.7109375" style="1"/>
    <col min="1537" max="1537" width="5.28515625" style="1" customWidth="1"/>
    <col min="1538" max="1538" width="14.5703125" style="1" customWidth="1"/>
    <col min="1539" max="1539" width="10" style="1" customWidth="1"/>
    <col min="1540" max="1540" width="13.140625" style="1" bestFit="1" customWidth="1"/>
    <col min="1541" max="1541" width="7.85546875" style="1" customWidth="1"/>
    <col min="1542" max="1542" width="23.28515625" style="1" customWidth="1"/>
    <col min="1543" max="1543" width="8.7109375" style="1" customWidth="1"/>
    <col min="1544" max="1544" width="17.85546875" style="1" customWidth="1"/>
    <col min="1545" max="1545" width="10.42578125" style="1" customWidth="1"/>
    <col min="1546" max="1546" width="11" style="1" customWidth="1"/>
    <col min="1547" max="1547" width="0" style="1" hidden="1" customWidth="1"/>
    <col min="1548" max="1548" width="14.7109375" style="1" customWidth="1"/>
    <col min="1549" max="1792" width="13.7109375" style="1"/>
    <col min="1793" max="1793" width="5.28515625" style="1" customWidth="1"/>
    <col min="1794" max="1794" width="14.5703125" style="1" customWidth="1"/>
    <col min="1795" max="1795" width="10" style="1" customWidth="1"/>
    <col min="1796" max="1796" width="13.140625" style="1" bestFit="1" customWidth="1"/>
    <col min="1797" max="1797" width="7.85546875" style="1" customWidth="1"/>
    <col min="1798" max="1798" width="23.28515625" style="1" customWidth="1"/>
    <col min="1799" max="1799" width="8.7109375" style="1" customWidth="1"/>
    <col min="1800" max="1800" width="17.85546875" style="1" customWidth="1"/>
    <col min="1801" max="1801" width="10.42578125" style="1" customWidth="1"/>
    <col min="1802" max="1802" width="11" style="1" customWidth="1"/>
    <col min="1803" max="1803" width="0" style="1" hidden="1" customWidth="1"/>
    <col min="1804" max="1804" width="14.7109375" style="1" customWidth="1"/>
    <col min="1805" max="2048" width="13.7109375" style="1"/>
    <col min="2049" max="2049" width="5.28515625" style="1" customWidth="1"/>
    <col min="2050" max="2050" width="14.5703125" style="1" customWidth="1"/>
    <col min="2051" max="2051" width="10" style="1" customWidth="1"/>
    <col min="2052" max="2052" width="13.140625" style="1" bestFit="1" customWidth="1"/>
    <col min="2053" max="2053" width="7.85546875" style="1" customWidth="1"/>
    <col min="2054" max="2054" width="23.28515625" style="1" customWidth="1"/>
    <col min="2055" max="2055" width="8.7109375" style="1" customWidth="1"/>
    <col min="2056" max="2056" width="17.85546875" style="1" customWidth="1"/>
    <col min="2057" max="2057" width="10.42578125" style="1" customWidth="1"/>
    <col min="2058" max="2058" width="11" style="1" customWidth="1"/>
    <col min="2059" max="2059" width="0" style="1" hidden="1" customWidth="1"/>
    <col min="2060" max="2060" width="14.7109375" style="1" customWidth="1"/>
    <col min="2061" max="2304" width="13.7109375" style="1"/>
    <col min="2305" max="2305" width="5.28515625" style="1" customWidth="1"/>
    <col min="2306" max="2306" width="14.5703125" style="1" customWidth="1"/>
    <col min="2307" max="2307" width="10" style="1" customWidth="1"/>
    <col min="2308" max="2308" width="13.140625" style="1" bestFit="1" customWidth="1"/>
    <col min="2309" max="2309" width="7.85546875" style="1" customWidth="1"/>
    <col min="2310" max="2310" width="23.28515625" style="1" customWidth="1"/>
    <col min="2311" max="2311" width="8.7109375" style="1" customWidth="1"/>
    <col min="2312" max="2312" width="17.85546875" style="1" customWidth="1"/>
    <col min="2313" max="2313" width="10.42578125" style="1" customWidth="1"/>
    <col min="2314" max="2314" width="11" style="1" customWidth="1"/>
    <col min="2315" max="2315" width="0" style="1" hidden="1" customWidth="1"/>
    <col min="2316" max="2316" width="14.7109375" style="1" customWidth="1"/>
    <col min="2317" max="2560" width="13.7109375" style="1"/>
    <col min="2561" max="2561" width="5.28515625" style="1" customWidth="1"/>
    <col min="2562" max="2562" width="14.5703125" style="1" customWidth="1"/>
    <col min="2563" max="2563" width="10" style="1" customWidth="1"/>
    <col min="2564" max="2564" width="13.140625" style="1" bestFit="1" customWidth="1"/>
    <col min="2565" max="2565" width="7.85546875" style="1" customWidth="1"/>
    <col min="2566" max="2566" width="23.28515625" style="1" customWidth="1"/>
    <col min="2567" max="2567" width="8.7109375" style="1" customWidth="1"/>
    <col min="2568" max="2568" width="17.85546875" style="1" customWidth="1"/>
    <col min="2569" max="2569" width="10.42578125" style="1" customWidth="1"/>
    <col min="2570" max="2570" width="11" style="1" customWidth="1"/>
    <col min="2571" max="2571" width="0" style="1" hidden="1" customWidth="1"/>
    <col min="2572" max="2572" width="14.7109375" style="1" customWidth="1"/>
    <col min="2573" max="2816" width="13.7109375" style="1"/>
    <col min="2817" max="2817" width="5.28515625" style="1" customWidth="1"/>
    <col min="2818" max="2818" width="14.5703125" style="1" customWidth="1"/>
    <col min="2819" max="2819" width="10" style="1" customWidth="1"/>
    <col min="2820" max="2820" width="13.140625" style="1" bestFit="1" customWidth="1"/>
    <col min="2821" max="2821" width="7.85546875" style="1" customWidth="1"/>
    <col min="2822" max="2822" width="23.28515625" style="1" customWidth="1"/>
    <col min="2823" max="2823" width="8.7109375" style="1" customWidth="1"/>
    <col min="2824" max="2824" width="17.85546875" style="1" customWidth="1"/>
    <col min="2825" max="2825" width="10.42578125" style="1" customWidth="1"/>
    <col min="2826" max="2826" width="11" style="1" customWidth="1"/>
    <col min="2827" max="2827" width="0" style="1" hidden="1" customWidth="1"/>
    <col min="2828" max="2828" width="14.7109375" style="1" customWidth="1"/>
    <col min="2829" max="3072" width="13.7109375" style="1"/>
    <col min="3073" max="3073" width="5.28515625" style="1" customWidth="1"/>
    <col min="3074" max="3074" width="14.5703125" style="1" customWidth="1"/>
    <col min="3075" max="3075" width="10" style="1" customWidth="1"/>
    <col min="3076" max="3076" width="13.140625" style="1" bestFit="1" customWidth="1"/>
    <col min="3077" max="3077" width="7.85546875" style="1" customWidth="1"/>
    <col min="3078" max="3078" width="23.28515625" style="1" customWidth="1"/>
    <col min="3079" max="3079" width="8.7109375" style="1" customWidth="1"/>
    <col min="3080" max="3080" width="17.85546875" style="1" customWidth="1"/>
    <col min="3081" max="3081" width="10.42578125" style="1" customWidth="1"/>
    <col min="3082" max="3082" width="11" style="1" customWidth="1"/>
    <col min="3083" max="3083" width="0" style="1" hidden="1" customWidth="1"/>
    <col min="3084" max="3084" width="14.7109375" style="1" customWidth="1"/>
    <col min="3085" max="3328" width="13.7109375" style="1"/>
    <col min="3329" max="3329" width="5.28515625" style="1" customWidth="1"/>
    <col min="3330" max="3330" width="14.5703125" style="1" customWidth="1"/>
    <col min="3331" max="3331" width="10" style="1" customWidth="1"/>
    <col min="3332" max="3332" width="13.140625" style="1" bestFit="1" customWidth="1"/>
    <col min="3333" max="3333" width="7.85546875" style="1" customWidth="1"/>
    <col min="3334" max="3334" width="23.28515625" style="1" customWidth="1"/>
    <col min="3335" max="3335" width="8.7109375" style="1" customWidth="1"/>
    <col min="3336" max="3336" width="17.85546875" style="1" customWidth="1"/>
    <col min="3337" max="3337" width="10.42578125" style="1" customWidth="1"/>
    <col min="3338" max="3338" width="11" style="1" customWidth="1"/>
    <col min="3339" max="3339" width="0" style="1" hidden="1" customWidth="1"/>
    <col min="3340" max="3340" width="14.7109375" style="1" customWidth="1"/>
    <col min="3341" max="3584" width="13.7109375" style="1"/>
    <col min="3585" max="3585" width="5.28515625" style="1" customWidth="1"/>
    <col min="3586" max="3586" width="14.5703125" style="1" customWidth="1"/>
    <col min="3587" max="3587" width="10" style="1" customWidth="1"/>
    <col min="3588" max="3588" width="13.140625" style="1" bestFit="1" customWidth="1"/>
    <col min="3589" max="3589" width="7.85546875" style="1" customWidth="1"/>
    <col min="3590" max="3590" width="23.28515625" style="1" customWidth="1"/>
    <col min="3591" max="3591" width="8.7109375" style="1" customWidth="1"/>
    <col min="3592" max="3592" width="17.85546875" style="1" customWidth="1"/>
    <col min="3593" max="3593" width="10.42578125" style="1" customWidth="1"/>
    <col min="3594" max="3594" width="11" style="1" customWidth="1"/>
    <col min="3595" max="3595" width="0" style="1" hidden="1" customWidth="1"/>
    <col min="3596" max="3596" width="14.7109375" style="1" customWidth="1"/>
    <col min="3597" max="3840" width="13.7109375" style="1"/>
    <col min="3841" max="3841" width="5.28515625" style="1" customWidth="1"/>
    <col min="3842" max="3842" width="14.5703125" style="1" customWidth="1"/>
    <col min="3843" max="3843" width="10" style="1" customWidth="1"/>
    <col min="3844" max="3844" width="13.140625" style="1" bestFit="1" customWidth="1"/>
    <col min="3845" max="3845" width="7.85546875" style="1" customWidth="1"/>
    <col min="3846" max="3846" width="23.28515625" style="1" customWidth="1"/>
    <col min="3847" max="3847" width="8.7109375" style="1" customWidth="1"/>
    <col min="3848" max="3848" width="17.85546875" style="1" customWidth="1"/>
    <col min="3849" max="3849" width="10.42578125" style="1" customWidth="1"/>
    <col min="3850" max="3850" width="11" style="1" customWidth="1"/>
    <col min="3851" max="3851" width="0" style="1" hidden="1" customWidth="1"/>
    <col min="3852" max="3852" width="14.7109375" style="1" customWidth="1"/>
    <col min="3853" max="4096" width="13.7109375" style="1"/>
    <col min="4097" max="4097" width="5.28515625" style="1" customWidth="1"/>
    <col min="4098" max="4098" width="14.5703125" style="1" customWidth="1"/>
    <col min="4099" max="4099" width="10" style="1" customWidth="1"/>
    <col min="4100" max="4100" width="13.140625" style="1" bestFit="1" customWidth="1"/>
    <col min="4101" max="4101" width="7.85546875" style="1" customWidth="1"/>
    <col min="4102" max="4102" width="23.28515625" style="1" customWidth="1"/>
    <col min="4103" max="4103" width="8.7109375" style="1" customWidth="1"/>
    <col min="4104" max="4104" width="17.85546875" style="1" customWidth="1"/>
    <col min="4105" max="4105" width="10.42578125" style="1" customWidth="1"/>
    <col min="4106" max="4106" width="11" style="1" customWidth="1"/>
    <col min="4107" max="4107" width="0" style="1" hidden="1" customWidth="1"/>
    <col min="4108" max="4108" width="14.7109375" style="1" customWidth="1"/>
    <col min="4109" max="4352" width="13.7109375" style="1"/>
    <col min="4353" max="4353" width="5.28515625" style="1" customWidth="1"/>
    <col min="4354" max="4354" width="14.5703125" style="1" customWidth="1"/>
    <col min="4355" max="4355" width="10" style="1" customWidth="1"/>
    <col min="4356" max="4356" width="13.140625" style="1" bestFit="1" customWidth="1"/>
    <col min="4357" max="4357" width="7.85546875" style="1" customWidth="1"/>
    <col min="4358" max="4358" width="23.28515625" style="1" customWidth="1"/>
    <col min="4359" max="4359" width="8.7109375" style="1" customWidth="1"/>
    <col min="4360" max="4360" width="17.85546875" style="1" customWidth="1"/>
    <col min="4361" max="4361" width="10.42578125" style="1" customWidth="1"/>
    <col min="4362" max="4362" width="11" style="1" customWidth="1"/>
    <col min="4363" max="4363" width="0" style="1" hidden="1" customWidth="1"/>
    <col min="4364" max="4364" width="14.7109375" style="1" customWidth="1"/>
    <col min="4365" max="4608" width="13.7109375" style="1"/>
    <col min="4609" max="4609" width="5.28515625" style="1" customWidth="1"/>
    <col min="4610" max="4610" width="14.5703125" style="1" customWidth="1"/>
    <col min="4611" max="4611" width="10" style="1" customWidth="1"/>
    <col min="4612" max="4612" width="13.140625" style="1" bestFit="1" customWidth="1"/>
    <col min="4613" max="4613" width="7.85546875" style="1" customWidth="1"/>
    <col min="4614" max="4614" width="23.28515625" style="1" customWidth="1"/>
    <col min="4615" max="4615" width="8.7109375" style="1" customWidth="1"/>
    <col min="4616" max="4616" width="17.85546875" style="1" customWidth="1"/>
    <col min="4617" max="4617" width="10.42578125" style="1" customWidth="1"/>
    <col min="4618" max="4618" width="11" style="1" customWidth="1"/>
    <col min="4619" max="4619" width="0" style="1" hidden="1" customWidth="1"/>
    <col min="4620" max="4620" width="14.7109375" style="1" customWidth="1"/>
    <col min="4621" max="4864" width="13.7109375" style="1"/>
    <col min="4865" max="4865" width="5.28515625" style="1" customWidth="1"/>
    <col min="4866" max="4866" width="14.5703125" style="1" customWidth="1"/>
    <col min="4867" max="4867" width="10" style="1" customWidth="1"/>
    <col min="4868" max="4868" width="13.140625" style="1" bestFit="1" customWidth="1"/>
    <col min="4869" max="4869" width="7.85546875" style="1" customWidth="1"/>
    <col min="4870" max="4870" width="23.28515625" style="1" customWidth="1"/>
    <col min="4871" max="4871" width="8.7109375" style="1" customWidth="1"/>
    <col min="4872" max="4872" width="17.85546875" style="1" customWidth="1"/>
    <col min="4873" max="4873" width="10.42578125" style="1" customWidth="1"/>
    <col min="4874" max="4874" width="11" style="1" customWidth="1"/>
    <col min="4875" max="4875" width="0" style="1" hidden="1" customWidth="1"/>
    <col min="4876" max="4876" width="14.7109375" style="1" customWidth="1"/>
    <col min="4877" max="5120" width="13.7109375" style="1"/>
    <col min="5121" max="5121" width="5.28515625" style="1" customWidth="1"/>
    <col min="5122" max="5122" width="14.5703125" style="1" customWidth="1"/>
    <col min="5123" max="5123" width="10" style="1" customWidth="1"/>
    <col min="5124" max="5124" width="13.140625" style="1" bestFit="1" customWidth="1"/>
    <col min="5125" max="5125" width="7.85546875" style="1" customWidth="1"/>
    <col min="5126" max="5126" width="23.28515625" style="1" customWidth="1"/>
    <col min="5127" max="5127" width="8.7109375" style="1" customWidth="1"/>
    <col min="5128" max="5128" width="17.85546875" style="1" customWidth="1"/>
    <col min="5129" max="5129" width="10.42578125" style="1" customWidth="1"/>
    <col min="5130" max="5130" width="11" style="1" customWidth="1"/>
    <col min="5131" max="5131" width="0" style="1" hidden="1" customWidth="1"/>
    <col min="5132" max="5132" width="14.7109375" style="1" customWidth="1"/>
    <col min="5133" max="5376" width="13.7109375" style="1"/>
    <col min="5377" max="5377" width="5.28515625" style="1" customWidth="1"/>
    <col min="5378" max="5378" width="14.5703125" style="1" customWidth="1"/>
    <col min="5379" max="5379" width="10" style="1" customWidth="1"/>
    <col min="5380" max="5380" width="13.140625" style="1" bestFit="1" customWidth="1"/>
    <col min="5381" max="5381" width="7.85546875" style="1" customWidth="1"/>
    <col min="5382" max="5382" width="23.28515625" style="1" customWidth="1"/>
    <col min="5383" max="5383" width="8.7109375" style="1" customWidth="1"/>
    <col min="5384" max="5384" width="17.85546875" style="1" customWidth="1"/>
    <col min="5385" max="5385" width="10.42578125" style="1" customWidth="1"/>
    <col min="5386" max="5386" width="11" style="1" customWidth="1"/>
    <col min="5387" max="5387" width="0" style="1" hidden="1" customWidth="1"/>
    <col min="5388" max="5388" width="14.7109375" style="1" customWidth="1"/>
    <col min="5389" max="5632" width="13.7109375" style="1"/>
    <col min="5633" max="5633" width="5.28515625" style="1" customWidth="1"/>
    <col min="5634" max="5634" width="14.5703125" style="1" customWidth="1"/>
    <col min="5635" max="5635" width="10" style="1" customWidth="1"/>
    <col min="5636" max="5636" width="13.140625" style="1" bestFit="1" customWidth="1"/>
    <col min="5637" max="5637" width="7.85546875" style="1" customWidth="1"/>
    <col min="5638" max="5638" width="23.28515625" style="1" customWidth="1"/>
    <col min="5639" max="5639" width="8.7109375" style="1" customWidth="1"/>
    <col min="5640" max="5640" width="17.85546875" style="1" customWidth="1"/>
    <col min="5641" max="5641" width="10.42578125" style="1" customWidth="1"/>
    <col min="5642" max="5642" width="11" style="1" customWidth="1"/>
    <col min="5643" max="5643" width="0" style="1" hidden="1" customWidth="1"/>
    <col min="5644" max="5644" width="14.7109375" style="1" customWidth="1"/>
    <col min="5645" max="5888" width="13.7109375" style="1"/>
    <col min="5889" max="5889" width="5.28515625" style="1" customWidth="1"/>
    <col min="5890" max="5890" width="14.5703125" style="1" customWidth="1"/>
    <col min="5891" max="5891" width="10" style="1" customWidth="1"/>
    <col min="5892" max="5892" width="13.140625" style="1" bestFit="1" customWidth="1"/>
    <col min="5893" max="5893" width="7.85546875" style="1" customWidth="1"/>
    <col min="5894" max="5894" width="23.28515625" style="1" customWidth="1"/>
    <col min="5895" max="5895" width="8.7109375" style="1" customWidth="1"/>
    <col min="5896" max="5896" width="17.85546875" style="1" customWidth="1"/>
    <col min="5897" max="5897" width="10.42578125" style="1" customWidth="1"/>
    <col min="5898" max="5898" width="11" style="1" customWidth="1"/>
    <col min="5899" max="5899" width="0" style="1" hidden="1" customWidth="1"/>
    <col min="5900" max="5900" width="14.7109375" style="1" customWidth="1"/>
    <col min="5901" max="6144" width="13.7109375" style="1"/>
    <col min="6145" max="6145" width="5.28515625" style="1" customWidth="1"/>
    <col min="6146" max="6146" width="14.5703125" style="1" customWidth="1"/>
    <col min="6147" max="6147" width="10" style="1" customWidth="1"/>
    <col min="6148" max="6148" width="13.140625" style="1" bestFit="1" customWidth="1"/>
    <col min="6149" max="6149" width="7.85546875" style="1" customWidth="1"/>
    <col min="6150" max="6150" width="23.28515625" style="1" customWidth="1"/>
    <col min="6151" max="6151" width="8.7109375" style="1" customWidth="1"/>
    <col min="6152" max="6152" width="17.85546875" style="1" customWidth="1"/>
    <col min="6153" max="6153" width="10.42578125" style="1" customWidth="1"/>
    <col min="6154" max="6154" width="11" style="1" customWidth="1"/>
    <col min="6155" max="6155" width="0" style="1" hidden="1" customWidth="1"/>
    <col min="6156" max="6156" width="14.7109375" style="1" customWidth="1"/>
    <col min="6157" max="6400" width="13.7109375" style="1"/>
    <col min="6401" max="6401" width="5.28515625" style="1" customWidth="1"/>
    <col min="6402" max="6402" width="14.5703125" style="1" customWidth="1"/>
    <col min="6403" max="6403" width="10" style="1" customWidth="1"/>
    <col min="6404" max="6404" width="13.140625" style="1" bestFit="1" customWidth="1"/>
    <col min="6405" max="6405" width="7.85546875" style="1" customWidth="1"/>
    <col min="6406" max="6406" width="23.28515625" style="1" customWidth="1"/>
    <col min="6407" max="6407" width="8.7109375" style="1" customWidth="1"/>
    <col min="6408" max="6408" width="17.85546875" style="1" customWidth="1"/>
    <col min="6409" max="6409" width="10.42578125" style="1" customWidth="1"/>
    <col min="6410" max="6410" width="11" style="1" customWidth="1"/>
    <col min="6411" max="6411" width="0" style="1" hidden="1" customWidth="1"/>
    <col min="6412" max="6412" width="14.7109375" style="1" customWidth="1"/>
    <col min="6413" max="6656" width="13.7109375" style="1"/>
    <col min="6657" max="6657" width="5.28515625" style="1" customWidth="1"/>
    <col min="6658" max="6658" width="14.5703125" style="1" customWidth="1"/>
    <col min="6659" max="6659" width="10" style="1" customWidth="1"/>
    <col min="6660" max="6660" width="13.140625" style="1" bestFit="1" customWidth="1"/>
    <col min="6661" max="6661" width="7.85546875" style="1" customWidth="1"/>
    <col min="6662" max="6662" width="23.28515625" style="1" customWidth="1"/>
    <col min="6663" max="6663" width="8.7109375" style="1" customWidth="1"/>
    <col min="6664" max="6664" width="17.85546875" style="1" customWidth="1"/>
    <col min="6665" max="6665" width="10.42578125" style="1" customWidth="1"/>
    <col min="6666" max="6666" width="11" style="1" customWidth="1"/>
    <col min="6667" max="6667" width="0" style="1" hidden="1" customWidth="1"/>
    <col min="6668" max="6668" width="14.7109375" style="1" customWidth="1"/>
    <col min="6669" max="6912" width="13.7109375" style="1"/>
    <col min="6913" max="6913" width="5.28515625" style="1" customWidth="1"/>
    <col min="6914" max="6914" width="14.5703125" style="1" customWidth="1"/>
    <col min="6915" max="6915" width="10" style="1" customWidth="1"/>
    <col min="6916" max="6916" width="13.140625" style="1" bestFit="1" customWidth="1"/>
    <col min="6917" max="6917" width="7.85546875" style="1" customWidth="1"/>
    <col min="6918" max="6918" width="23.28515625" style="1" customWidth="1"/>
    <col min="6919" max="6919" width="8.7109375" style="1" customWidth="1"/>
    <col min="6920" max="6920" width="17.85546875" style="1" customWidth="1"/>
    <col min="6921" max="6921" width="10.42578125" style="1" customWidth="1"/>
    <col min="6922" max="6922" width="11" style="1" customWidth="1"/>
    <col min="6923" max="6923" width="0" style="1" hidden="1" customWidth="1"/>
    <col min="6924" max="6924" width="14.7109375" style="1" customWidth="1"/>
    <col min="6925" max="7168" width="13.7109375" style="1"/>
    <col min="7169" max="7169" width="5.28515625" style="1" customWidth="1"/>
    <col min="7170" max="7170" width="14.5703125" style="1" customWidth="1"/>
    <col min="7171" max="7171" width="10" style="1" customWidth="1"/>
    <col min="7172" max="7172" width="13.140625" style="1" bestFit="1" customWidth="1"/>
    <col min="7173" max="7173" width="7.85546875" style="1" customWidth="1"/>
    <col min="7174" max="7174" width="23.28515625" style="1" customWidth="1"/>
    <col min="7175" max="7175" width="8.7109375" style="1" customWidth="1"/>
    <col min="7176" max="7176" width="17.85546875" style="1" customWidth="1"/>
    <col min="7177" max="7177" width="10.42578125" style="1" customWidth="1"/>
    <col min="7178" max="7178" width="11" style="1" customWidth="1"/>
    <col min="7179" max="7179" width="0" style="1" hidden="1" customWidth="1"/>
    <col min="7180" max="7180" width="14.7109375" style="1" customWidth="1"/>
    <col min="7181" max="7424" width="13.7109375" style="1"/>
    <col min="7425" max="7425" width="5.28515625" style="1" customWidth="1"/>
    <col min="7426" max="7426" width="14.5703125" style="1" customWidth="1"/>
    <col min="7427" max="7427" width="10" style="1" customWidth="1"/>
    <col min="7428" max="7428" width="13.140625" style="1" bestFit="1" customWidth="1"/>
    <col min="7429" max="7429" width="7.85546875" style="1" customWidth="1"/>
    <col min="7430" max="7430" width="23.28515625" style="1" customWidth="1"/>
    <col min="7431" max="7431" width="8.7109375" style="1" customWidth="1"/>
    <col min="7432" max="7432" width="17.85546875" style="1" customWidth="1"/>
    <col min="7433" max="7433" width="10.42578125" style="1" customWidth="1"/>
    <col min="7434" max="7434" width="11" style="1" customWidth="1"/>
    <col min="7435" max="7435" width="0" style="1" hidden="1" customWidth="1"/>
    <col min="7436" max="7436" width="14.7109375" style="1" customWidth="1"/>
    <col min="7437" max="7680" width="13.7109375" style="1"/>
    <col min="7681" max="7681" width="5.28515625" style="1" customWidth="1"/>
    <col min="7682" max="7682" width="14.5703125" style="1" customWidth="1"/>
    <col min="7683" max="7683" width="10" style="1" customWidth="1"/>
    <col min="7684" max="7684" width="13.140625" style="1" bestFit="1" customWidth="1"/>
    <col min="7685" max="7685" width="7.85546875" style="1" customWidth="1"/>
    <col min="7686" max="7686" width="23.28515625" style="1" customWidth="1"/>
    <col min="7687" max="7687" width="8.7109375" style="1" customWidth="1"/>
    <col min="7688" max="7688" width="17.85546875" style="1" customWidth="1"/>
    <col min="7689" max="7689" width="10.42578125" style="1" customWidth="1"/>
    <col min="7690" max="7690" width="11" style="1" customWidth="1"/>
    <col min="7691" max="7691" width="0" style="1" hidden="1" customWidth="1"/>
    <col min="7692" max="7692" width="14.7109375" style="1" customWidth="1"/>
    <col min="7693" max="7936" width="13.7109375" style="1"/>
    <col min="7937" max="7937" width="5.28515625" style="1" customWidth="1"/>
    <col min="7938" max="7938" width="14.5703125" style="1" customWidth="1"/>
    <col min="7939" max="7939" width="10" style="1" customWidth="1"/>
    <col min="7940" max="7940" width="13.140625" style="1" bestFit="1" customWidth="1"/>
    <col min="7941" max="7941" width="7.85546875" style="1" customWidth="1"/>
    <col min="7942" max="7942" width="23.28515625" style="1" customWidth="1"/>
    <col min="7943" max="7943" width="8.7109375" style="1" customWidth="1"/>
    <col min="7944" max="7944" width="17.85546875" style="1" customWidth="1"/>
    <col min="7945" max="7945" width="10.42578125" style="1" customWidth="1"/>
    <col min="7946" max="7946" width="11" style="1" customWidth="1"/>
    <col min="7947" max="7947" width="0" style="1" hidden="1" customWidth="1"/>
    <col min="7948" max="7948" width="14.7109375" style="1" customWidth="1"/>
    <col min="7949" max="8192" width="13.7109375" style="1"/>
    <col min="8193" max="8193" width="5.28515625" style="1" customWidth="1"/>
    <col min="8194" max="8194" width="14.5703125" style="1" customWidth="1"/>
    <col min="8195" max="8195" width="10" style="1" customWidth="1"/>
    <col min="8196" max="8196" width="13.140625" style="1" bestFit="1" customWidth="1"/>
    <col min="8197" max="8197" width="7.85546875" style="1" customWidth="1"/>
    <col min="8198" max="8198" width="23.28515625" style="1" customWidth="1"/>
    <col min="8199" max="8199" width="8.7109375" style="1" customWidth="1"/>
    <col min="8200" max="8200" width="17.85546875" style="1" customWidth="1"/>
    <col min="8201" max="8201" width="10.42578125" style="1" customWidth="1"/>
    <col min="8202" max="8202" width="11" style="1" customWidth="1"/>
    <col min="8203" max="8203" width="0" style="1" hidden="1" customWidth="1"/>
    <col min="8204" max="8204" width="14.7109375" style="1" customWidth="1"/>
    <col min="8205" max="8448" width="13.7109375" style="1"/>
    <col min="8449" max="8449" width="5.28515625" style="1" customWidth="1"/>
    <col min="8450" max="8450" width="14.5703125" style="1" customWidth="1"/>
    <col min="8451" max="8451" width="10" style="1" customWidth="1"/>
    <col min="8452" max="8452" width="13.140625" style="1" bestFit="1" customWidth="1"/>
    <col min="8453" max="8453" width="7.85546875" style="1" customWidth="1"/>
    <col min="8454" max="8454" width="23.28515625" style="1" customWidth="1"/>
    <col min="8455" max="8455" width="8.7109375" style="1" customWidth="1"/>
    <col min="8456" max="8456" width="17.85546875" style="1" customWidth="1"/>
    <col min="8457" max="8457" width="10.42578125" style="1" customWidth="1"/>
    <col min="8458" max="8458" width="11" style="1" customWidth="1"/>
    <col min="8459" max="8459" width="0" style="1" hidden="1" customWidth="1"/>
    <col min="8460" max="8460" width="14.7109375" style="1" customWidth="1"/>
    <col min="8461" max="8704" width="13.7109375" style="1"/>
    <col min="8705" max="8705" width="5.28515625" style="1" customWidth="1"/>
    <col min="8706" max="8706" width="14.5703125" style="1" customWidth="1"/>
    <col min="8707" max="8707" width="10" style="1" customWidth="1"/>
    <col min="8708" max="8708" width="13.140625" style="1" bestFit="1" customWidth="1"/>
    <col min="8709" max="8709" width="7.85546875" style="1" customWidth="1"/>
    <col min="8710" max="8710" width="23.28515625" style="1" customWidth="1"/>
    <col min="8711" max="8711" width="8.7109375" style="1" customWidth="1"/>
    <col min="8712" max="8712" width="17.85546875" style="1" customWidth="1"/>
    <col min="8713" max="8713" width="10.42578125" style="1" customWidth="1"/>
    <col min="8714" max="8714" width="11" style="1" customWidth="1"/>
    <col min="8715" max="8715" width="0" style="1" hidden="1" customWidth="1"/>
    <col min="8716" max="8716" width="14.7109375" style="1" customWidth="1"/>
    <col min="8717" max="8960" width="13.7109375" style="1"/>
    <col min="8961" max="8961" width="5.28515625" style="1" customWidth="1"/>
    <col min="8962" max="8962" width="14.5703125" style="1" customWidth="1"/>
    <col min="8963" max="8963" width="10" style="1" customWidth="1"/>
    <col min="8964" max="8964" width="13.140625" style="1" bestFit="1" customWidth="1"/>
    <col min="8965" max="8965" width="7.85546875" style="1" customWidth="1"/>
    <col min="8966" max="8966" width="23.28515625" style="1" customWidth="1"/>
    <col min="8967" max="8967" width="8.7109375" style="1" customWidth="1"/>
    <col min="8968" max="8968" width="17.85546875" style="1" customWidth="1"/>
    <col min="8969" max="8969" width="10.42578125" style="1" customWidth="1"/>
    <col min="8970" max="8970" width="11" style="1" customWidth="1"/>
    <col min="8971" max="8971" width="0" style="1" hidden="1" customWidth="1"/>
    <col min="8972" max="8972" width="14.7109375" style="1" customWidth="1"/>
    <col min="8973" max="9216" width="13.7109375" style="1"/>
    <col min="9217" max="9217" width="5.28515625" style="1" customWidth="1"/>
    <col min="9218" max="9218" width="14.5703125" style="1" customWidth="1"/>
    <col min="9219" max="9219" width="10" style="1" customWidth="1"/>
    <col min="9220" max="9220" width="13.140625" style="1" bestFit="1" customWidth="1"/>
    <col min="9221" max="9221" width="7.85546875" style="1" customWidth="1"/>
    <col min="9222" max="9222" width="23.28515625" style="1" customWidth="1"/>
    <col min="9223" max="9223" width="8.7109375" style="1" customWidth="1"/>
    <col min="9224" max="9224" width="17.85546875" style="1" customWidth="1"/>
    <col min="9225" max="9225" width="10.42578125" style="1" customWidth="1"/>
    <col min="9226" max="9226" width="11" style="1" customWidth="1"/>
    <col min="9227" max="9227" width="0" style="1" hidden="1" customWidth="1"/>
    <col min="9228" max="9228" width="14.7109375" style="1" customWidth="1"/>
    <col min="9229" max="9472" width="13.7109375" style="1"/>
    <col min="9473" max="9473" width="5.28515625" style="1" customWidth="1"/>
    <col min="9474" max="9474" width="14.5703125" style="1" customWidth="1"/>
    <col min="9475" max="9475" width="10" style="1" customWidth="1"/>
    <col min="9476" max="9476" width="13.140625" style="1" bestFit="1" customWidth="1"/>
    <col min="9477" max="9477" width="7.85546875" style="1" customWidth="1"/>
    <col min="9478" max="9478" width="23.28515625" style="1" customWidth="1"/>
    <col min="9479" max="9479" width="8.7109375" style="1" customWidth="1"/>
    <col min="9480" max="9480" width="17.85546875" style="1" customWidth="1"/>
    <col min="9481" max="9481" width="10.42578125" style="1" customWidth="1"/>
    <col min="9482" max="9482" width="11" style="1" customWidth="1"/>
    <col min="9483" max="9483" width="0" style="1" hidden="1" customWidth="1"/>
    <col min="9484" max="9484" width="14.7109375" style="1" customWidth="1"/>
    <col min="9485" max="9728" width="13.7109375" style="1"/>
    <col min="9729" max="9729" width="5.28515625" style="1" customWidth="1"/>
    <col min="9730" max="9730" width="14.5703125" style="1" customWidth="1"/>
    <col min="9731" max="9731" width="10" style="1" customWidth="1"/>
    <col min="9732" max="9732" width="13.140625" style="1" bestFit="1" customWidth="1"/>
    <col min="9733" max="9733" width="7.85546875" style="1" customWidth="1"/>
    <col min="9734" max="9734" width="23.28515625" style="1" customWidth="1"/>
    <col min="9735" max="9735" width="8.7109375" style="1" customWidth="1"/>
    <col min="9736" max="9736" width="17.85546875" style="1" customWidth="1"/>
    <col min="9737" max="9737" width="10.42578125" style="1" customWidth="1"/>
    <col min="9738" max="9738" width="11" style="1" customWidth="1"/>
    <col min="9739" max="9739" width="0" style="1" hidden="1" customWidth="1"/>
    <col min="9740" max="9740" width="14.7109375" style="1" customWidth="1"/>
    <col min="9741" max="9984" width="13.7109375" style="1"/>
    <col min="9985" max="9985" width="5.28515625" style="1" customWidth="1"/>
    <col min="9986" max="9986" width="14.5703125" style="1" customWidth="1"/>
    <col min="9987" max="9987" width="10" style="1" customWidth="1"/>
    <col min="9988" max="9988" width="13.140625" style="1" bestFit="1" customWidth="1"/>
    <col min="9989" max="9989" width="7.85546875" style="1" customWidth="1"/>
    <col min="9990" max="9990" width="23.28515625" style="1" customWidth="1"/>
    <col min="9991" max="9991" width="8.7109375" style="1" customWidth="1"/>
    <col min="9992" max="9992" width="17.85546875" style="1" customWidth="1"/>
    <col min="9993" max="9993" width="10.42578125" style="1" customWidth="1"/>
    <col min="9994" max="9994" width="11" style="1" customWidth="1"/>
    <col min="9995" max="9995" width="0" style="1" hidden="1" customWidth="1"/>
    <col min="9996" max="9996" width="14.7109375" style="1" customWidth="1"/>
    <col min="9997" max="10240" width="13.7109375" style="1"/>
    <col min="10241" max="10241" width="5.28515625" style="1" customWidth="1"/>
    <col min="10242" max="10242" width="14.5703125" style="1" customWidth="1"/>
    <col min="10243" max="10243" width="10" style="1" customWidth="1"/>
    <col min="10244" max="10244" width="13.140625" style="1" bestFit="1" customWidth="1"/>
    <col min="10245" max="10245" width="7.85546875" style="1" customWidth="1"/>
    <col min="10246" max="10246" width="23.28515625" style="1" customWidth="1"/>
    <col min="10247" max="10247" width="8.7109375" style="1" customWidth="1"/>
    <col min="10248" max="10248" width="17.85546875" style="1" customWidth="1"/>
    <col min="10249" max="10249" width="10.42578125" style="1" customWidth="1"/>
    <col min="10250" max="10250" width="11" style="1" customWidth="1"/>
    <col min="10251" max="10251" width="0" style="1" hidden="1" customWidth="1"/>
    <col min="10252" max="10252" width="14.7109375" style="1" customWidth="1"/>
    <col min="10253" max="10496" width="13.7109375" style="1"/>
    <col min="10497" max="10497" width="5.28515625" style="1" customWidth="1"/>
    <col min="10498" max="10498" width="14.5703125" style="1" customWidth="1"/>
    <col min="10499" max="10499" width="10" style="1" customWidth="1"/>
    <col min="10500" max="10500" width="13.140625" style="1" bestFit="1" customWidth="1"/>
    <col min="10501" max="10501" width="7.85546875" style="1" customWidth="1"/>
    <col min="10502" max="10502" width="23.28515625" style="1" customWidth="1"/>
    <col min="10503" max="10503" width="8.7109375" style="1" customWidth="1"/>
    <col min="10504" max="10504" width="17.85546875" style="1" customWidth="1"/>
    <col min="10505" max="10505" width="10.42578125" style="1" customWidth="1"/>
    <col min="10506" max="10506" width="11" style="1" customWidth="1"/>
    <col min="10507" max="10507" width="0" style="1" hidden="1" customWidth="1"/>
    <col min="10508" max="10508" width="14.7109375" style="1" customWidth="1"/>
    <col min="10509" max="10752" width="13.7109375" style="1"/>
    <col min="10753" max="10753" width="5.28515625" style="1" customWidth="1"/>
    <col min="10754" max="10754" width="14.5703125" style="1" customWidth="1"/>
    <col min="10755" max="10755" width="10" style="1" customWidth="1"/>
    <col min="10756" max="10756" width="13.140625" style="1" bestFit="1" customWidth="1"/>
    <col min="10757" max="10757" width="7.85546875" style="1" customWidth="1"/>
    <col min="10758" max="10758" width="23.28515625" style="1" customWidth="1"/>
    <col min="10759" max="10759" width="8.7109375" style="1" customWidth="1"/>
    <col min="10760" max="10760" width="17.85546875" style="1" customWidth="1"/>
    <col min="10761" max="10761" width="10.42578125" style="1" customWidth="1"/>
    <col min="10762" max="10762" width="11" style="1" customWidth="1"/>
    <col min="10763" max="10763" width="0" style="1" hidden="1" customWidth="1"/>
    <col min="10764" max="10764" width="14.7109375" style="1" customWidth="1"/>
    <col min="10765" max="11008" width="13.7109375" style="1"/>
    <col min="11009" max="11009" width="5.28515625" style="1" customWidth="1"/>
    <col min="11010" max="11010" width="14.5703125" style="1" customWidth="1"/>
    <col min="11011" max="11011" width="10" style="1" customWidth="1"/>
    <col min="11012" max="11012" width="13.140625" style="1" bestFit="1" customWidth="1"/>
    <col min="11013" max="11013" width="7.85546875" style="1" customWidth="1"/>
    <col min="11014" max="11014" width="23.28515625" style="1" customWidth="1"/>
    <col min="11015" max="11015" width="8.7109375" style="1" customWidth="1"/>
    <col min="11016" max="11016" width="17.85546875" style="1" customWidth="1"/>
    <col min="11017" max="11017" width="10.42578125" style="1" customWidth="1"/>
    <col min="11018" max="11018" width="11" style="1" customWidth="1"/>
    <col min="11019" max="11019" width="0" style="1" hidden="1" customWidth="1"/>
    <col min="11020" max="11020" width="14.7109375" style="1" customWidth="1"/>
    <col min="11021" max="11264" width="13.7109375" style="1"/>
    <col min="11265" max="11265" width="5.28515625" style="1" customWidth="1"/>
    <col min="11266" max="11266" width="14.5703125" style="1" customWidth="1"/>
    <col min="11267" max="11267" width="10" style="1" customWidth="1"/>
    <col min="11268" max="11268" width="13.140625" style="1" bestFit="1" customWidth="1"/>
    <col min="11269" max="11269" width="7.85546875" style="1" customWidth="1"/>
    <col min="11270" max="11270" width="23.28515625" style="1" customWidth="1"/>
    <col min="11271" max="11271" width="8.7109375" style="1" customWidth="1"/>
    <col min="11272" max="11272" width="17.85546875" style="1" customWidth="1"/>
    <col min="11273" max="11273" width="10.42578125" style="1" customWidth="1"/>
    <col min="11274" max="11274" width="11" style="1" customWidth="1"/>
    <col min="11275" max="11275" width="0" style="1" hidden="1" customWidth="1"/>
    <col min="11276" max="11276" width="14.7109375" style="1" customWidth="1"/>
    <col min="11277" max="11520" width="13.7109375" style="1"/>
    <col min="11521" max="11521" width="5.28515625" style="1" customWidth="1"/>
    <col min="11522" max="11522" width="14.5703125" style="1" customWidth="1"/>
    <col min="11523" max="11523" width="10" style="1" customWidth="1"/>
    <col min="11524" max="11524" width="13.140625" style="1" bestFit="1" customWidth="1"/>
    <col min="11525" max="11525" width="7.85546875" style="1" customWidth="1"/>
    <col min="11526" max="11526" width="23.28515625" style="1" customWidth="1"/>
    <col min="11527" max="11527" width="8.7109375" style="1" customWidth="1"/>
    <col min="11528" max="11528" width="17.85546875" style="1" customWidth="1"/>
    <col min="11529" max="11529" width="10.42578125" style="1" customWidth="1"/>
    <col min="11530" max="11530" width="11" style="1" customWidth="1"/>
    <col min="11531" max="11531" width="0" style="1" hidden="1" customWidth="1"/>
    <col min="11532" max="11532" width="14.7109375" style="1" customWidth="1"/>
    <col min="11533" max="11776" width="13.7109375" style="1"/>
    <col min="11777" max="11777" width="5.28515625" style="1" customWidth="1"/>
    <col min="11778" max="11778" width="14.5703125" style="1" customWidth="1"/>
    <col min="11779" max="11779" width="10" style="1" customWidth="1"/>
    <col min="11780" max="11780" width="13.140625" style="1" bestFit="1" customWidth="1"/>
    <col min="11781" max="11781" width="7.85546875" style="1" customWidth="1"/>
    <col min="11782" max="11782" width="23.28515625" style="1" customWidth="1"/>
    <col min="11783" max="11783" width="8.7109375" style="1" customWidth="1"/>
    <col min="11784" max="11784" width="17.85546875" style="1" customWidth="1"/>
    <col min="11785" max="11785" width="10.42578125" style="1" customWidth="1"/>
    <col min="11786" max="11786" width="11" style="1" customWidth="1"/>
    <col min="11787" max="11787" width="0" style="1" hidden="1" customWidth="1"/>
    <col min="11788" max="11788" width="14.7109375" style="1" customWidth="1"/>
    <col min="11789" max="12032" width="13.7109375" style="1"/>
    <col min="12033" max="12033" width="5.28515625" style="1" customWidth="1"/>
    <col min="12034" max="12034" width="14.5703125" style="1" customWidth="1"/>
    <col min="12035" max="12035" width="10" style="1" customWidth="1"/>
    <col min="12036" max="12036" width="13.140625" style="1" bestFit="1" customWidth="1"/>
    <col min="12037" max="12037" width="7.85546875" style="1" customWidth="1"/>
    <col min="12038" max="12038" width="23.28515625" style="1" customWidth="1"/>
    <col min="12039" max="12039" width="8.7109375" style="1" customWidth="1"/>
    <col min="12040" max="12040" width="17.85546875" style="1" customWidth="1"/>
    <col min="12041" max="12041" width="10.42578125" style="1" customWidth="1"/>
    <col min="12042" max="12042" width="11" style="1" customWidth="1"/>
    <col min="12043" max="12043" width="0" style="1" hidden="1" customWidth="1"/>
    <col min="12044" max="12044" width="14.7109375" style="1" customWidth="1"/>
    <col min="12045" max="12288" width="13.7109375" style="1"/>
    <col min="12289" max="12289" width="5.28515625" style="1" customWidth="1"/>
    <col min="12290" max="12290" width="14.5703125" style="1" customWidth="1"/>
    <col min="12291" max="12291" width="10" style="1" customWidth="1"/>
    <col min="12292" max="12292" width="13.140625" style="1" bestFit="1" customWidth="1"/>
    <col min="12293" max="12293" width="7.85546875" style="1" customWidth="1"/>
    <col min="12294" max="12294" width="23.28515625" style="1" customWidth="1"/>
    <col min="12295" max="12295" width="8.7109375" style="1" customWidth="1"/>
    <col min="12296" max="12296" width="17.85546875" style="1" customWidth="1"/>
    <col min="12297" max="12297" width="10.42578125" style="1" customWidth="1"/>
    <col min="12298" max="12298" width="11" style="1" customWidth="1"/>
    <col min="12299" max="12299" width="0" style="1" hidden="1" customWidth="1"/>
    <col min="12300" max="12300" width="14.7109375" style="1" customWidth="1"/>
    <col min="12301" max="12544" width="13.7109375" style="1"/>
    <col min="12545" max="12545" width="5.28515625" style="1" customWidth="1"/>
    <col min="12546" max="12546" width="14.5703125" style="1" customWidth="1"/>
    <col min="12547" max="12547" width="10" style="1" customWidth="1"/>
    <col min="12548" max="12548" width="13.140625" style="1" bestFit="1" customWidth="1"/>
    <col min="12549" max="12549" width="7.85546875" style="1" customWidth="1"/>
    <col min="12550" max="12550" width="23.28515625" style="1" customWidth="1"/>
    <col min="12551" max="12551" width="8.7109375" style="1" customWidth="1"/>
    <col min="12552" max="12552" width="17.85546875" style="1" customWidth="1"/>
    <col min="12553" max="12553" width="10.42578125" style="1" customWidth="1"/>
    <col min="12554" max="12554" width="11" style="1" customWidth="1"/>
    <col min="12555" max="12555" width="0" style="1" hidden="1" customWidth="1"/>
    <col min="12556" max="12556" width="14.7109375" style="1" customWidth="1"/>
    <col min="12557" max="12800" width="13.7109375" style="1"/>
    <col min="12801" max="12801" width="5.28515625" style="1" customWidth="1"/>
    <col min="12802" max="12802" width="14.5703125" style="1" customWidth="1"/>
    <col min="12803" max="12803" width="10" style="1" customWidth="1"/>
    <col min="12804" max="12804" width="13.140625" style="1" bestFit="1" customWidth="1"/>
    <col min="12805" max="12805" width="7.85546875" style="1" customWidth="1"/>
    <col min="12806" max="12806" width="23.28515625" style="1" customWidth="1"/>
    <col min="12807" max="12807" width="8.7109375" style="1" customWidth="1"/>
    <col min="12808" max="12808" width="17.85546875" style="1" customWidth="1"/>
    <col min="12809" max="12809" width="10.42578125" style="1" customWidth="1"/>
    <col min="12810" max="12810" width="11" style="1" customWidth="1"/>
    <col min="12811" max="12811" width="0" style="1" hidden="1" customWidth="1"/>
    <col min="12812" max="12812" width="14.7109375" style="1" customWidth="1"/>
    <col min="12813" max="13056" width="13.7109375" style="1"/>
    <col min="13057" max="13057" width="5.28515625" style="1" customWidth="1"/>
    <col min="13058" max="13058" width="14.5703125" style="1" customWidth="1"/>
    <col min="13059" max="13059" width="10" style="1" customWidth="1"/>
    <col min="13060" max="13060" width="13.140625" style="1" bestFit="1" customWidth="1"/>
    <col min="13061" max="13061" width="7.85546875" style="1" customWidth="1"/>
    <col min="13062" max="13062" width="23.28515625" style="1" customWidth="1"/>
    <col min="13063" max="13063" width="8.7109375" style="1" customWidth="1"/>
    <col min="13064" max="13064" width="17.85546875" style="1" customWidth="1"/>
    <col min="13065" max="13065" width="10.42578125" style="1" customWidth="1"/>
    <col min="13066" max="13066" width="11" style="1" customWidth="1"/>
    <col min="13067" max="13067" width="0" style="1" hidden="1" customWidth="1"/>
    <col min="13068" max="13068" width="14.7109375" style="1" customWidth="1"/>
    <col min="13069" max="13312" width="13.7109375" style="1"/>
    <col min="13313" max="13313" width="5.28515625" style="1" customWidth="1"/>
    <col min="13314" max="13314" width="14.5703125" style="1" customWidth="1"/>
    <col min="13315" max="13315" width="10" style="1" customWidth="1"/>
    <col min="13316" max="13316" width="13.140625" style="1" bestFit="1" customWidth="1"/>
    <col min="13317" max="13317" width="7.85546875" style="1" customWidth="1"/>
    <col min="13318" max="13318" width="23.28515625" style="1" customWidth="1"/>
    <col min="13319" max="13319" width="8.7109375" style="1" customWidth="1"/>
    <col min="13320" max="13320" width="17.85546875" style="1" customWidth="1"/>
    <col min="13321" max="13321" width="10.42578125" style="1" customWidth="1"/>
    <col min="13322" max="13322" width="11" style="1" customWidth="1"/>
    <col min="13323" max="13323" width="0" style="1" hidden="1" customWidth="1"/>
    <col min="13324" max="13324" width="14.7109375" style="1" customWidth="1"/>
    <col min="13325" max="13568" width="13.7109375" style="1"/>
    <col min="13569" max="13569" width="5.28515625" style="1" customWidth="1"/>
    <col min="13570" max="13570" width="14.5703125" style="1" customWidth="1"/>
    <col min="13571" max="13571" width="10" style="1" customWidth="1"/>
    <col min="13572" max="13572" width="13.140625" style="1" bestFit="1" customWidth="1"/>
    <col min="13573" max="13573" width="7.85546875" style="1" customWidth="1"/>
    <col min="13574" max="13574" width="23.28515625" style="1" customWidth="1"/>
    <col min="13575" max="13575" width="8.7109375" style="1" customWidth="1"/>
    <col min="13576" max="13576" width="17.85546875" style="1" customWidth="1"/>
    <col min="13577" max="13577" width="10.42578125" style="1" customWidth="1"/>
    <col min="13578" max="13578" width="11" style="1" customWidth="1"/>
    <col min="13579" max="13579" width="0" style="1" hidden="1" customWidth="1"/>
    <col min="13580" max="13580" width="14.7109375" style="1" customWidth="1"/>
    <col min="13581" max="13824" width="13.7109375" style="1"/>
    <col min="13825" max="13825" width="5.28515625" style="1" customWidth="1"/>
    <col min="13826" max="13826" width="14.5703125" style="1" customWidth="1"/>
    <col min="13827" max="13827" width="10" style="1" customWidth="1"/>
    <col min="13828" max="13828" width="13.140625" style="1" bestFit="1" customWidth="1"/>
    <col min="13829" max="13829" width="7.85546875" style="1" customWidth="1"/>
    <col min="13830" max="13830" width="23.28515625" style="1" customWidth="1"/>
    <col min="13831" max="13831" width="8.7109375" style="1" customWidth="1"/>
    <col min="13832" max="13832" width="17.85546875" style="1" customWidth="1"/>
    <col min="13833" max="13833" width="10.42578125" style="1" customWidth="1"/>
    <col min="13834" max="13834" width="11" style="1" customWidth="1"/>
    <col min="13835" max="13835" width="0" style="1" hidden="1" customWidth="1"/>
    <col min="13836" max="13836" width="14.7109375" style="1" customWidth="1"/>
    <col min="13837" max="14080" width="13.7109375" style="1"/>
    <col min="14081" max="14081" width="5.28515625" style="1" customWidth="1"/>
    <col min="14082" max="14082" width="14.5703125" style="1" customWidth="1"/>
    <col min="14083" max="14083" width="10" style="1" customWidth="1"/>
    <col min="14084" max="14084" width="13.140625" style="1" bestFit="1" customWidth="1"/>
    <col min="14085" max="14085" width="7.85546875" style="1" customWidth="1"/>
    <col min="14086" max="14086" width="23.28515625" style="1" customWidth="1"/>
    <col min="14087" max="14087" width="8.7109375" style="1" customWidth="1"/>
    <col min="14088" max="14088" width="17.85546875" style="1" customWidth="1"/>
    <col min="14089" max="14089" width="10.42578125" style="1" customWidth="1"/>
    <col min="14090" max="14090" width="11" style="1" customWidth="1"/>
    <col min="14091" max="14091" width="0" style="1" hidden="1" customWidth="1"/>
    <col min="14092" max="14092" width="14.7109375" style="1" customWidth="1"/>
    <col min="14093" max="14336" width="13.7109375" style="1"/>
    <col min="14337" max="14337" width="5.28515625" style="1" customWidth="1"/>
    <col min="14338" max="14338" width="14.5703125" style="1" customWidth="1"/>
    <col min="14339" max="14339" width="10" style="1" customWidth="1"/>
    <col min="14340" max="14340" width="13.140625" style="1" bestFit="1" customWidth="1"/>
    <col min="14341" max="14341" width="7.85546875" style="1" customWidth="1"/>
    <col min="14342" max="14342" width="23.28515625" style="1" customWidth="1"/>
    <col min="14343" max="14343" width="8.7109375" style="1" customWidth="1"/>
    <col min="14344" max="14344" width="17.85546875" style="1" customWidth="1"/>
    <col min="14345" max="14345" width="10.42578125" style="1" customWidth="1"/>
    <col min="14346" max="14346" width="11" style="1" customWidth="1"/>
    <col min="14347" max="14347" width="0" style="1" hidden="1" customWidth="1"/>
    <col min="14348" max="14348" width="14.7109375" style="1" customWidth="1"/>
    <col min="14349" max="14592" width="13.7109375" style="1"/>
    <col min="14593" max="14593" width="5.28515625" style="1" customWidth="1"/>
    <col min="14594" max="14594" width="14.5703125" style="1" customWidth="1"/>
    <col min="14595" max="14595" width="10" style="1" customWidth="1"/>
    <col min="14596" max="14596" width="13.140625" style="1" bestFit="1" customWidth="1"/>
    <col min="14597" max="14597" width="7.85546875" style="1" customWidth="1"/>
    <col min="14598" max="14598" width="23.28515625" style="1" customWidth="1"/>
    <col min="14599" max="14599" width="8.7109375" style="1" customWidth="1"/>
    <col min="14600" max="14600" width="17.85546875" style="1" customWidth="1"/>
    <col min="14601" max="14601" width="10.42578125" style="1" customWidth="1"/>
    <col min="14602" max="14602" width="11" style="1" customWidth="1"/>
    <col min="14603" max="14603" width="0" style="1" hidden="1" customWidth="1"/>
    <col min="14604" max="14604" width="14.7109375" style="1" customWidth="1"/>
    <col min="14605" max="14848" width="13.7109375" style="1"/>
    <col min="14849" max="14849" width="5.28515625" style="1" customWidth="1"/>
    <col min="14850" max="14850" width="14.5703125" style="1" customWidth="1"/>
    <col min="14851" max="14851" width="10" style="1" customWidth="1"/>
    <col min="14852" max="14852" width="13.140625" style="1" bestFit="1" customWidth="1"/>
    <col min="14853" max="14853" width="7.85546875" style="1" customWidth="1"/>
    <col min="14854" max="14854" width="23.28515625" style="1" customWidth="1"/>
    <col min="14855" max="14855" width="8.7109375" style="1" customWidth="1"/>
    <col min="14856" max="14856" width="17.85546875" style="1" customWidth="1"/>
    <col min="14857" max="14857" width="10.42578125" style="1" customWidth="1"/>
    <col min="14858" max="14858" width="11" style="1" customWidth="1"/>
    <col min="14859" max="14859" width="0" style="1" hidden="1" customWidth="1"/>
    <col min="14860" max="14860" width="14.7109375" style="1" customWidth="1"/>
    <col min="14861" max="15104" width="13.7109375" style="1"/>
    <col min="15105" max="15105" width="5.28515625" style="1" customWidth="1"/>
    <col min="15106" max="15106" width="14.5703125" style="1" customWidth="1"/>
    <col min="15107" max="15107" width="10" style="1" customWidth="1"/>
    <col min="15108" max="15108" width="13.140625" style="1" bestFit="1" customWidth="1"/>
    <col min="15109" max="15109" width="7.85546875" style="1" customWidth="1"/>
    <col min="15110" max="15110" width="23.28515625" style="1" customWidth="1"/>
    <col min="15111" max="15111" width="8.7109375" style="1" customWidth="1"/>
    <col min="15112" max="15112" width="17.85546875" style="1" customWidth="1"/>
    <col min="15113" max="15113" width="10.42578125" style="1" customWidth="1"/>
    <col min="15114" max="15114" width="11" style="1" customWidth="1"/>
    <col min="15115" max="15115" width="0" style="1" hidden="1" customWidth="1"/>
    <col min="15116" max="15116" width="14.7109375" style="1" customWidth="1"/>
    <col min="15117" max="15360" width="13.7109375" style="1"/>
    <col min="15361" max="15361" width="5.28515625" style="1" customWidth="1"/>
    <col min="15362" max="15362" width="14.5703125" style="1" customWidth="1"/>
    <col min="15363" max="15363" width="10" style="1" customWidth="1"/>
    <col min="15364" max="15364" width="13.140625" style="1" bestFit="1" customWidth="1"/>
    <col min="15365" max="15365" width="7.85546875" style="1" customWidth="1"/>
    <col min="15366" max="15366" width="23.28515625" style="1" customWidth="1"/>
    <col min="15367" max="15367" width="8.7109375" style="1" customWidth="1"/>
    <col min="15368" max="15368" width="17.85546875" style="1" customWidth="1"/>
    <col min="15369" max="15369" width="10.42578125" style="1" customWidth="1"/>
    <col min="15370" max="15370" width="11" style="1" customWidth="1"/>
    <col min="15371" max="15371" width="0" style="1" hidden="1" customWidth="1"/>
    <col min="15372" max="15372" width="14.7109375" style="1" customWidth="1"/>
    <col min="15373" max="15616" width="13.7109375" style="1"/>
    <col min="15617" max="15617" width="5.28515625" style="1" customWidth="1"/>
    <col min="15618" max="15618" width="14.5703125" style="1" customWidth="1"/>
    <col min="15619" max="15619" width="10" style="1" customWidth="1"/>
    <col min="15620" max="15620" width="13.140625" style="1" bestFit="1" customWidth="1"/>
    <col min="15621" max="15621" width="7.85546875" style="1" customWidth="1"/>
    <col min="15622" max="15622" width="23.28515625" style="1" customWidth="1"/>
    <col min="15623" max="15623" width="8.7109375" style="1" customWidth="1"/>
    <col min="15624" max="15624" width="17.85546875" style="1" customWidth="1"/>
    <col min="15625" max="15625" width="10.42578125" style="1" customWidth="1"/>
    <col min="15626" max="15626" width="11" style="1" customWidth="1"/>
    <col min="15627" max="15627" width="0" style="1" hidden="1" customWidth="1"/>
    <col min="15628" max="15628" width="14.7109375" style="1" customWidth="1"/>
    <col min="15629" max="15872" width="13.7109375" style="1"/>
    <col min="15873" max="15873" width="5.28515625" style="1" customWidth="1"/>
    <col min="15874" max="15874" width="14.5703125" style="1" customWidth="1"/>
    <col min="15875" max="15875" width="10" style="1" customWidth="1"/>
    <col min="15876" max="15876" width="13.140625" style="1" bestFit="1" customWidth="1"/>
    <col min="15877" max="15877" width="7.85546875" style="1" customWidth="1"/>
    <col min="15878" max="15878" width="23.28515625" style="1" customWidth="1"/>
    <col min="15879" max="15879" width="8.7109375" style="1" customWidth="1"/>
    <col min="15880" max="15880" width="17.85546875" style="1" customWidth="1"/>
    <col min="15881" max="15881" width="10.42578125" style="1" customWidth="1"/>
    <col min="15882" max="15882" width="11" style="1" customWidth="1"/>
    <col min="15883" max="15883" width="0" style="1" hidden="1" customWidth="1"/>
    <col min="15884" max="15884" width="14.7109375" style="1" customWidth="1"/>
    <col min="15885" max="16128" width="13.7109375" style="1"/>
    <col min="16129" max="16129" width="5.28515625" style="1" customWidth="1"/>
    <col min="16130" max="16130" width="14.5703125" style="1" customWidth="1"/>
    <col min="16131" max="16131" width="10" style="1" customWidth="1"/>
    <col min="16132" max="16132" width="13.140625" style="1" bestFit="1" customWidth="1"/>
    <col min="16133" max="16133" width="7.85546875" style="1" customWidth="1"/>
    <col min="16134" max="16134" width="23.28515625" style="1" customWidth="1"/>
    <col min="16135" max="16135" width="8.7109375" style="1" customWidth="1"/>
    <col min="16136" max="16136" width="17.85546875" style="1" customWidth="1"/>
    <col min="16137" max="16137" width="10.42578125" style="1" customWidth="1"/>
    <col min="16138" max="16138" width="11" style="1" customWidth="1"/>
    <col min="16139" max="16139" width="0" style="1" hidden="1" customWidth="1"/>
    <col min="16140" max="16140" width="14.7109375" style="1" customWidth="1"/>
    <col min="16141" max="16384" width="13.7109375" style="1"/>
  </cols>
  <sheetData>
    <row r="1" spans="1:12" ht="25.5" customHeight="1" thickBot="1" x14ac:dyDescent="0.25">
      <c r="L1" s="3" t="s">
        <v>0</v>
      </c>
    </row>
    <row r="2" spans="1:12" s="4" customFormat="1" ht="39" customHeight="1" thickTop="1" thickBot="1" x14ac:dyDescent="0.25">
      <c r="A2" s="48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50"/>
    </row>
    <row r="3" spans="1:12" ht="16.5" customHeight="1" thickTop="1" x14ac:dyDescent="0.2">
      <c r="B3" s="5"/>
      <c r="C3" s="5"/>
      <c r="D3" s="6"/>
      <c r="E3" s="6"/>
      <c r="F3" s="6"/>
      <c r="G3" s="6"/>
      <c r="H3" s="6"/>
      <c r="I3" s="6"/>
      <c r="J3" s="6"/>
      <c r="L3" s="7"/>
    </row>
    <row r="4" spans="1:12" ht="33" customHeight="1" x14ac:dyDescent="0.2">
      <c r="A4" s="1" t="s">
        <v>2</v>
      </c>
      <c r="D4" s="51" t="s">
        <v>22</v>
      </c>
      <c r="E4" s="51"/>
      <c r="F4" s="51"/>
      <c r="G4" s="8" t="s">
        <v>3</v>
      </c>
      <c r="H4" s="8"/>
      <c r="I4" s="51">
        <v>1044430852</v>
      </c>
      <c r="J4" s="51"/>
      <c r="K4" s="51"/>
      <c r="L4" s="51"/>
    </row>
    <row r="5" spans="1:12" ht="35.25" customHeight="1" x14ac:dyDescent="0.2">
      <c r="A5" s="1" t="s">
        <v>4</v>
      </c>
      <c r="D5" s="52">
        <v>46199</v>
      </c>
      <c r="E5" s="52"/>
      <c r="F5" s="52"/>
      <c r="G5" s="8" t="s">
        <v>5</v>
      </c>
      <c r="H5" s="8"/>
      <c r="I5" s="52">
        <v>46204</v>
      </c>
      <c r="J5" s="52"/>
      <c r="K5" s="52"/>
      <c r="L5" s="52"/>
    </row>
    <row r="6" spans="1:12" ht="27.75" customHeight="1" x14ac:dyDescent="0.2">
      <c r="A6" s="1" t="s">
        <v>6</v>
      </c>
      <c r="D6" s="46">
        <v>120079</v>
      </c>
      <c r="E6" s="46"/>
      <c r="F6" s="46"/>
      <c r="G6" s="8" t="s">
        <v>7</v>
      </c>
      <c r="H6" s="8"/>
      <c r="I6" s="47" t="s">
        <v>24</v>
      </c>
      <c r="J6" s="47"/>
      <c r="K6" s="47"/>
      <c r="L6" s="47"/>
    </row>
    <row r="7" spans="1:12" ht="9" customHeight="1" x14ac:dyDescent="0.2"/>
    <row r="8" spans="1:12" x14ac:dyDescent="0.2">
      <c r="A8" s="10"/>
      <c r="B8" s="11"/>
      <c r="C8" s="11"/>
      <c r="D8" s="12"/>
      <c r="E8" s="12"/>
      <c r="F8" s="12"/>
      <c r="G8" s="12"/>
      <c r="H8" s="12"/>
      <c r="I8" s="12"/>
      <c r="J8" s="12"/>
      <c r="L8" s="12"/>
    </row>
    <row r="9" spans="1:12" ht="22.5" customHeight="1" x14ac:dyDescent="0.2">
      <c r="A9" s="13" t="s">
        <v>8</v>
      </c>
      <c r="B9" s="14" t="s">
        <v>9</v>
      </c>
      <c r="C9" s="53" t="s">
        <v>10</v>
      </c>
      <c r="D9" s="53"/>
      <c r="E9" s="53" t="s">
        <v>11</v>
      </c>
      <c r="F9" s="53"/>
      <c r="G9" s="53" t="s">
        <v>12</v>
      </c>
      <c r="H9" s="53"/>
      <c r="I9" s="53"/>
      <c r="J9" s="15" t="s">
        <v>13</v>
      </c>
      <c r="K9" s="16"/>
      <c r="L9" s="17" t="s">
        <v>14</v>
      </c>
    </row>
    <row r="10" spans="1:12" s="4" customFormat="1" ht="22.5" customHeight="1" x14ac:dyDescent="0.2">
      <c r="A10" s="18">
        <v>1</v>
      </c>
      <c r="B10" s="19">
        <v>46199</v>
      </c>
      <c r="C10" s="54" t="s">
        <v>25</v>
      </c>
      <c r="D10" s="55"/>
      <c r="E10" s="56" t="s">
        <v>27</v>
      </c>
      <c r="F10" s="57"/>
      <c r="G10" s="58" t="s">
        <v>29</v>
      </c>
      <c r="H10" s="59"/>
      <c r="I10" s="60"/>
      <c r="J10" s="18">
        <v>120079</v>
      </c>
      <c r="K10" s="24"/>
      <c r="L10" s="40">
        <v>22200</v>
      </c>
    </row>
    <row r="11" spans="1:12" s="23" customFormat="1" ht="23.25" customHeight="1" x14ac:dyDescent="0.2">
      <c r="A11" s="22">
        <v>2</v>
      </c>
      <c r="B11" s="19">
        <v>46199</v>
      </c>
      <c r="C11" s="54" t="s">
        <v>25</v>
      </c>
      <c r="D11" s="55"/>
      <c r="E11" s="56" t="s">
        <v>28</v>
      </c>
      <c r="F11" s="57"/>
      <c r="G11" s="58" t="s">
        <v>29</v>
      </c>
      <c r="H11" s="59"/>
      <c r="I11" s="60"/>
      <c r="J11" s="18">
        <v>120079</v>
      </c>
      <c r="K11" s="20"/>
      <c r="L11" s="21">
        <v>20700</v>
      </c>
    </row>
    <row r="12" spans="1:12" s="23" customFormat="1" ht="24.75" customHeight="1" x14ac:dyDescent="0.2">
      <c r="A12" s="18">
        <v>3</v>
      </c>
      <c r="B12" s="19">
        <v>46199</v>
      </c>
      <c r="C12" s="54" t="s">
        <v>25</v>
      </c>
      <c r="D12" s="55"/>
      <c r="E12" s="56" t="s">
        <v>28</v>
      </c>
      <c r="F12" s="57"/>
      <c r="G12" s="58" t="s">
        <v>29</v>
      </c>
      <c r="H12" s="59"/>
      <c r="I12" s="60"/>
      <c r="J12" s="18">
        <v>120079</v>
      </c>
      <c r="K12" s="20"/>
      <c r="L12" s="21">
        <v>20700</v>
      </c>
    </row>
    <row r="13" spans="1:12" s="23" customFormat="1" ht="24.75" customHeight="1" x14ac:dyDescent="0.2">
      <c r="A13" s="18">
        <v>4</v>
      </c>
      <c r="B13" s="19">
        <v>46199</v>
      </c>
      <c r="C13" s="54" t="s">
        <v>25</v>
      </c>
      <c r="D13" s="55"/>
      <c r="E13" s="56" t="s">
        <v>27</v>
      </c>
      <c r="F13" s="57"/>
      <c r="G13" s="58" t="s">
        <v>29</v>
      </c>
      <c r="H13" s="59"/>
      <c r="I13" s="60"/>
      <c r="J13" s="18">
        <v>120079</v>
      </c>
      <c r="K13" s="24"/>
      <c r="L13" s="40">
        <v>22200</v>
      </c>
    </row>
    <row r="14" spans="1:12" s="23" customFormat="1" ht="24.75" customHeight="1" x14ac:dyDescent="0.2">
      <c r="A14" s="18">
        <v>5</v>
      </c>
      <c r="B14" s="19">
        <v>46199</v>
      </c>
      <c r="C14" s="61">
        <v>1044430852</v>
      </c>
      <c r="D14" s="61"/>
      <c r="E14" s="56" t="s">
        <v>22</v>
      </c>
      <c r="F14" s="57"/>
      <c r="G14" s="62" t="s">
        <v>36</v>
      </c>
      <c r="H14" s="62"/>
      <c r="I14" s="62"/>
      <c r="J14" s="18">
        <v>120079</v>
      </c>
      <c r="K14" s="20"/>
      <c r="L14" s="21">
        <v>60000</v>
      </c>
    </row>
    <row r="15" spans="1:12" s="23" customFormat="1" ht="24.75" customHeight="1" x14ac:dyDescent="0.2">
      <c r="A15" s="18">
        <v>6</v>
      </c>
      <c r="B15" s="19">
        <v>46199</v>
      </c>
      <c r="C15" s="54">
        <v>1151473452</v>
      </c>
      <c r="D15" s="55"/>
      <c r="E15" s="56" t="s">
        <v>32</v>
      </c>
      <c r="F15" s="57"/>
      <c r="G15" s="62" t="s">
        <v>36</v>
      </c>
      <c r="H15" s="62"/>
      <c r="I15" s="62"/>
      <c r="J15" s="18">
        <v>120079</v>
      </c>
      <c r="K15" s="20"/>
      <c r="L15" s="21">
        <v>60000</v>
      </c>
    </row>
    <row r="16" spans="1:12" s="23" customFormat="1" ht="24.75" customHeight="1" x14ac:dyDescent="0.2">
      <c r="A16" s="18">
        <v>7</v>
      </c>
      <c r="B16" s="19">
        <v>46199</v>
      </c>
      <c r="C16" s="61">
        <v>1051362358</v>
      </c>
      <c r="D16" s="61"/>
      <c r="E16" s="56" t="s">
        <v>33</v>
      </c>
      <c r="F16" s="57"/>
      <c r="G16" s="62" t="s">
        <v>36</v>
      </c>
      <c r="H16" s="62"/>
      <c r="I16" s="62"/>
      <c r="J16" s="18">
        <v>120079</v>
      </c>
      <c r="K16" s="24"/>
      <c r="L16" s="40">
        <v>60000</v>
      </c>
    </row>
    <row r="17" spans="1:12" s="23" customFormat="1" ht="24.75" customHeight="1" x14ac:dyDescent="0.2">
      <c r="A17" s="18">
        <v>8</v>
      </c>
      <c r="B17" s="19">
        <v>46199</v>
      </c>
      <c r="C17" s="54" t="s">
        <v>30</v>
      </c>
      <c r="D17" s="55"/>
      <c r="E17" s="56" t="s">
        <v>31</v>
      </c>
      <c r="F17" s="57"/>
      <c r="G17" s="58" t="s">
        <v>26</v>
      </c>
      <c r="H17" s="59"/>
      <c r="I17" s="60"/>
      <c r="J17" s="18">
        <v>120079</v>
      </c>
      <c r="K17" s="20"/>
      <c r="L17" s="25">
        <v>60000</v>
      </c>
    </row>
    <row r="18" spans="1:12" s="23" customFormat="1" ht="24.75" customHeight="1" x14ac:dyDescent="0.2">
      <c r="A18" s="18">
        <v>9</v>
      </c>
      <c r="B18" s="19">
        <v>46200</v>
      </c>
      <c r="C18" s="61">
        <v>1044430852</v>
      </c>
      <c r="D18" s="61"/>
      <c r="E18" s="56" t="s">
        <v>22</v>
      </c>
      <c r="F18" s="57"/>
      <c r="G18" s="62" t="s">
        <v>37</v>
      </c>
      <c r="H18" s="62"/>
      <c r="I18" s="62"/>
      <c r="J18" s="18">
        <v>120079</v>
      </c>
      <c r="K18" s="24"/>
      <c r="L18" s="40">
        <v>61000</v>
      </c>
    </row>
    <row r="19" spans="1:12" s="23" customFormat="1" ht="24.75" customHeight="1" x14ac:dyDescent="0.2">
      <c r="A19" s="18">
        <v>11</v>
      </c>
      <c r="B19" s="19">
        <v>46200</v>
      </c>
      <c r="C19" s="54" t="s">
        <v>30</v>
      </c>
      <c r="D19" s="55"/>
      <c r="E19" s="56" t="s">
        <v>31</v>
      </c>
      <c r="F19" s="57"/>
      <c r="G19" s="58" t="s">
        <v>26</v>
      </c>
      <c r="H19" s="59"/>
      <c r="I19" s="60"/>
      <c r="J19" s="18">
        <v>120079</v>
      </c>
      <c r="K19" s="24"/>
      <c r="L19" s="40">
        <v>50000</v>
      </c>
    </row>
    <row r="20" spans="1:12" s="23" customFormat="1" ht="24.75" customHeight="1" x14ac:dyDescent="0.2">
      <c r="A20" s="18">
        <v>11</v>
      </c>
      <c r="B20" s="19"/>
      <c r="C20" s="61"/>
      <c r="D20" s="61"/>
      <c r="E20" s="56"/>
      <c r="F20" s="57"/>
      <c r="G20" s="62"/>
      <c r="H20" s="62"/>
      <c r="I20" s="62"/>
      <c r="J20" s="18"/>
      <c r="K20" s="20"/>
      <c r="L20" s="21"/>
    </row>
    <row r="21" spans="1:12" s="23" customFormat="1" ht="24.75" customHeight="1" x14ac:dyDescent="0.2">
      <c r="A21" s="18">
        <v>12</v>
      </c>
      <c r="B21" s="19"/>
      <c r="C21" s="61"/>
      <c r="D21" s="61"/>
      <c r="E21" s="56"/>
      <c r="F21" s="57"/>
      <c r="G21" s="62"/>
      <c r="H21" s="62"/>
      <c r="I21" s="62"/>
      <c r="J21" s="18"/>
      <c r="K21" s="20"/>
      <c r="L21" s="21"/>
    </row>
    <row r="22" spans="1:12" s="23" customFormat="1" ht="24.75" customHeight="1" x14ac:dyDescent="0.2">
      <c r="A22" s="18">
        <v>13</v>
      </c>
      <c r="B22" s="19"/>
      <c r="C22" s="61"/>
      <c r="D22" s="61"/>
      <c r="E22" s="56"/>
      <c r="F22" s="57"/>
      <c r="G22" s="62"/>
      <c r="H22" s="62"/>
      <c r="I22" s="62"/>
      <c r="J22" s="18"/>
      <c r="K22" s="24"/>
      <c r="L22" s="40"/>
    </row>
    <row r="23" spans="1:12" s="23" customFormat="1" ht="24.75" customHeight="1" x14ac:dyDescent="0.2">
      <c r="A23" s="18">
        <v>14</v>
      </c>
      <c r="B23" s="19"/>
      <c r="C23" s="61"/>
      <c r="D23" s="61"/>
      <c r="E23" s="56"/>
      <c r="F23" s="57"/>
      <c r="G23" s="58"/>
      <c r="H23" s="59"/>
      <c r="I23" s="60"/>
      <c r="J23" s="18"/>
      <c r="K23" s="20"/>
      <c r="L23" s="25"/>
    </row>
    <row r="24" spans="1:12" s="23" customFormat="1" ht="24.75" customHeight="1" x14ac:dyDescent="0.2">
      <c r="A24" s="18">
        <v>15</v>
      </c>
      <c r="B24" s="19"/>
      <c r="C24" s="54"/>
      <c r="D24" s="55"/>
      <c r="E24" s="56"/>
      <c r="F24" s="57"/>
      <c r="G24" s="58"/>
      <c r="H24" s="59"/>
      <c r="I24" s="60"/>
      <c r="J24" s="18"/>
      <c r="K24" s="24"/>
      <c r="L24" s="25"/>
    </row>
    <row r="25" spans="1:12" s="23" customFormat="1" ht="24.75" customHeight="1" x14ac:dyDescent="0.2">
      <c r="A25" s="18">
        <v>16</v>
      </c>
      <c r="B25" s="19"/>
      <c r="C25" s="54"/>
      <c r="D25" s="55"/>
      <c r="E25" s="56"/>
      <c r="F25" s="57"/>
      <c r="G25" s="58"/>
      <c r="H25" s="59"/>
      <c r="I25" s="60"/>
      <c r="J25" s="18"/>
      <c r="K25" s="24"/>
      <c r="L25" s="25"/>
    </row>
    <row r="26" spans="1:12" s="23" customFormat="1" ht="24.75" customHeight="1" x14ac:dyDescent="0.2">
      <c r="A26" s="18">
        <v>17</v>
      </c>
      <c r="B26" s="43"/>
      <c r="C26" s="54"/>
      <c r="D26" s="55"/>
      <c r="E26" s="56"/>
      <c r="F26" s="57"/>
      <c r="G26" s="58"/>
      <c r="H26" s="59"/>
      <c r="I26" s="60"/>
      <c r="J26" s="18"/>
      <c r="K26" s="24"/>
      <c r="L26" s="25"/>
    </row>
    <row r="27" spans="1:12" s="23" customFormat="1" ht="24.75" customHeight="1" x14ac:dyDescent="0.2">
      <c r="A27" s="18">
        <v>18</v>
      </c>
      <c r="B27" s="19"/>
      <c r="C27" s="54"/>
      <c r="D27" s="55"/>
      <c r="E27" s="56"/>
      <c r="F27" s="57"/>
      <c r="G27" s="58"/>
      <c r="H27" s="59"/>
      <c r="I27" s="60"/>
      <c r="J27" s="18"/>
      <c r="K27" s="24"/>
      <c r="L27" s="25"/>
    </row>
    <row r="28" spans="1:12" s="23" customFormat="1" ht="24.75" customHeight="1" x14ac:dyDescent="0.2">
      <c r="A28" s="18">
        <v>19</v>
      </c>
      <c r="B28" s="19"/>
      <c r="C28" s="54"/>
      <c r="D28" s="55"/>
      <c r="E28" s="56"/>
      <c r="F28" s="57"/>
      <c r="G28" s="58"/>
      <c r="H28" s="59"/>
      <c r="I28" s="60"/>
      <c r="J28" s="18"/>
      <c r="K28" s="24"/>
      <c r="L28" s="25"/>
    </row>
    <row r="29" spans="1:12" s="23" customFormat="1" ht="24.75" customHeight="1" x14ac:dyDescent="0.2">
      <c r="A29" s="18">
        <v>20</v>
      </c>
      <c r="B29" s="19"/>
      <c r="C29" s="54"/>
      <c r="D29" s="55"/>
      <c r="E29" s="56"/>
      <c r="F29" s="57"/>
      <c r="G29" s="58"/>
      <c r="H29" s="59"/>
      <c r="I29" s="60"/>
      <c r="J29" s="18"/>
      <c r="K29" s="24"/>
      <c r="L29" s="25"/>
    </row>
    <row r="30" spans="1:12" s="23" customFormat="1" ht="24.75" customHeight="1" x14ac:dyDescent="0.2">
      <c r="A30" s="18">
        <v>21</v>
      </c>
      <c r="B30" s="19"/>
      <c r="C30" s="54"/>
      <c r="D30" s="55"/>
      <c r="E30" s="56"/>
      <c r="F30" s="57"/>
      <c r="G30" s="58"/>
      <c r="H30" s="59"/>
      <c r="I30" s="60"/>
      <c r="J30" s="18"/>
      <c r="K30" s="24"/>
      <c r="L30" s="25"/>
    </row>
    <row r="31" spans="1:12" s="23" customFormat="1" ht="24.75" customHeight="1" x14ac:dyDescent="0.2">
      <c r="A31" s="18">
        <v>22</v>
      </c>
      <c r="B31" s="19"/>
      <c r="C31" s="54"/>
      <c r="D31" s="55"/>
      <c r="E31" s="56"/>
      <c r="F31" s="57"/>
      <c r="G31" s="58"/>
      <c r="H31" s="59"/>
      <c r="I31" s="60"/>
      <c r="J31" s="18"/>
      <c r="K31" s="24"/>
      <c r="L31" s="25"/>
    </row>
    <row r="32" spans="1:12" s="23" customFormat="1" ht="24.75" customHeight="1" x14ac:dyDescent="0.2">
      <c r="A32" s="18">
        <v>23</v>
      </c>
      <c r="B32" s="19"/>
      <c r="C32" s="61"/>
      <c r="D32" s="61"/>
      <c r="E32" s="56"/>
      <c r="F32" s="57"/>
      <c r="G32" s="58"/>
      <c r="H32" s="59"/>
      <c r="I32" s="60"/>
      <c r="J32" s="18"/>
      <c r="K32" s="24"/>
      <c r="L32" s="25"/>
    </row>
    <row r="33" spans="1:12" s="23" customFormat="1" ht="24.75" customHeight="1" x14ac:dyDescent="0.2">
      <c r="A33" s="18">
        <v>24</v>
      </c>
      <c r="B33" s="19"/>
      <c r="C33" s="61"/>
      <c r="D33" s="61"/>
      <c r="E33" s="56"/>
      <c r="F33" s="57"/>
      <c r="G33" s="62"/>
      <c r="H33" s="62"/>
      <c r="I33" s="62"/>
      <c r="J33" s="18"/>
      <c r="K33" s="24"/>
      <c r="L33" s="25"/>
    </row>
    <row r="34" spans="1:12" s="23" customFormat="1" ht="24.75" customHeight="1" x14ac:dyDescent="0.2">
      <c r="A34" s="18">
        <v>25</v>
      </c>
      <c r="B34" s="19"/>
      <c r="C34" s="61"/>
      <c r="D34" s="61"/>
      <c r="E34" s="56"/>
      <c r="F34" s="57"/>
      <c r="G34" s="62"/>
      <c r="H34" s="62"/>
      <c r="I34" s="62"/>
      <c r="J34" s="18"/>
      <c r="K34" s="24"/>
      <c r="L34" s="25"/>
    </row>
    <row r="35" spans="1:12" s="23" customFormat="1" ht="24.75" customHeight="1" x14ac:dyDescent="0.2">
      <c r="A35" s="18">
        <v>26</v>
      </c>
      <c r="B35" s="19"/>
      <c r="C35" s="61"/>
      <c r="D35" s="61"/>
      <c r="E35" s="56"/>
      <c r="F35" s="57"/>
      <c r="G35" s="62"/>
      <c r="H35" s="62"/>
      <c r="I35" s="62"/>
      <c r="J35" s="18"/>
      <c r="K35" s="24"/>
      <c r="L35" s="25"/>
    </row>
    <row r="36" spans="1:12" ht="6.75" customHeight="1" x14ac:dyDescent="0.2">
      <c r="G36" s="26"/>
      <c r="L36" s="27"/>
    </row>
    <row r="37" spans="1:12" ht="17.25" customHeight="1" x14ac:dyDescent="0.2">
      <c r="A37" s="2"/>
      <c r="B37" s="1"/>
      <c r="C37" s="1"/>
      <c r="D37" s="12"/>
      <c r="E37" s="12"/>
      <c r="G37" s="28" t="s">
        <v>15</v>
      </c>
      <c r="H37" s="10"/>
      <c r="J37" s="29"/>
      <c r="L37" s="30">
        <f>SUM(L10:L35)</f>
        <v>436800</v>
      </c>
    </row>
    <row r="38" spans="1:12" ht="17.25" customHeight="1" x14ac:dyDescent="0.4">
      <c r="A38" s="10" t="s">
        <v>16</v>
      </c>
      <c r="C38" s="63" t="s">
        <v>23</v>
      </c>
      <c r="D38" s="63"/>
      <c r="E38" s="63"/>
      <c r="G38" s="28" t="s">
        <v>17</v>
      </c>
      <c r="H38" s="10"/>
      <c r="J38" s="33"/>
      <c r="L38" s="34">
        <f>+'Legalización anticipo (3)'!L40+300000+100000</f>
        <v>419223</v>
      </c>
    </row>
    <row r="39" spans="1:12" ht="13.5" customHeight="1" x14ac:dyDescent="0.2">
      <c r="A39" s="10"/>
      <c r="G39" s="28"/>
      <c r="H39" s="10"/>
      <c r="J39" s="33"/>
      <c r="L39" s="34"/>
    </row>
    <row r="40" spans="1:12" ht="17.25" customHeight="1" x14ac:dyDescent="0.2">
      <c r="A40" s="10" t="s">
        <v>18</v>
      </c>
      <c r="C40" s="31"/>
      <c r="D40" s="32"/>
      <c r="E40" s="32"/>
      <c r="G40" s="28" t="s">
        <v>19</v>
      </c>
      <c r="H40" s="10"/>
      <c r="J40" s="33"/>
      <c r="L40" s="44">
        <f>+L38-L37</f>
        <v>-17577</v>
      </c>
    </row>
    <row r="41" spans="1:12" ht="17.25" customHeight="1" x14ac:dyDescent="0.2">
      <c r="B41" s="1"/>
      <c r="C41" s="1"/>
      <c r="G41" s="35" t="s">
        <v>20</v>
      </c>
      <c r="H41" s="36"/>
      <c r="I41" s="32"/>
      <c r="J41" s="37"/>
      <c r="K41" s="38"/>
      <c r="L41" s="42">
        <f>+L37-L38</f>
        <v>17577</v>
      </c>
    </row>
    <row r="42" spans="1:12" x14ac:dyDescent="0.2">
      <c r="A42" s="10" t="s">
        <v>21</v>
      </c>
      <c r="C42" s="31"/>
      <c r="D42" s="32"/>
      <c r="E42" s="32"/>
    </row>
    <row r="43" spans="1:12" ht="16.5" customHeight="1" x14ac:dyDescent="0.2">
      <c r="B43" s="1"/>
      <c r="C43" s="1"/>
      <c r="L43" s="39"/>
    </row>
  </sheetData>
  <mergeCells count="89">
    <mergeCell ref="C35:D35"/>
    <mergeCell ref="E35:F35"/>
    <mergeCell ref="G35:I35"/>
    <mergeCell ref="C38:E38"/>
    <mergeCell ref="C33:D33"/>
    <mergeCell ref="E33:F33"/>
    <mergeCell ref="G33:I33"/>
    <mergeCell ref="C34:D34"/>
    <mergeCell ref="E34:F34"/>
    <mergeCell ref="G34:I34"/>
    <mergeCell ref="C31:D31"/>
    <mergeCell ref="E31:F31"/>
    <mergeCell ref="G31:I31"/>
    <mergeCell ref="C32:D32"/>
    <mergeCell ref="E32:F32"/>
    <mergeCell ref="G32:I32"/>
    <mergeCell ref="C29:D29"/>
    <mergeCell ref="E29:F29"/>
    <mergeCell ref="G29:I29"/>
    <mergeCell ref="C30:D30"/>
    <mergeCell ref="E30:F30"/>
    <mergeCell ref="G30:I30"/>
    <mergeCell ref="C27:D27"/>
    <mergeCell ref="E27:F27"/>
    <mergeCell ref="G27:I27"/>
    <mergeCell ref="C28:D28"/>
    <mergeCell ref="E28:F28"/>
    <mergeCell ref="G28:I28"/>
    <mergeCell ref="C25:D25"/>
    <mergeCell ref="E25:F25"/>
    <mergeCell ref="G25:I25"/>
    <mergeCell ref="C26:D26"/>
    <mergeCell ref="E26:F26"/>
    <mergeCell ref="G26:I26"/>
    <mergeCell ref="C23:D23"/>
    <mergeCell ref="E23:F23"/>
    <mergeCell ref="G23:I23"/>
    <mergeCell ref="C24:D24"/>
    <mergeCell ref="E24:F24"/>
    <mergeCell ref="G24:I24"/>
    <mergeCell ref="C21:D21"/>
    <mergeCell ref="E21:F21"/>
    <mergeCell ref="G21:I21"/>
    <mergeCell ref="C22:D22"/>
    <mergeCell ref="E22:F22"/>
    <mergeCell ref="G22:I22"/>
    <mergeCell ref="C19:D19"/>
    <mergeCell ref="E19:F19"/>
    <mergeCell ref="G19:I19"/>
    <mergeCell ref="C20:D20"/>
    <mergeCell ref="E20:F20"/>
    <mergeCell ref="G20:I20"/>
    <mergeCell ref="C17:D17"/>
    <mergeCell ref="E17:F17"/>
    <mergeCell ref="G17:I17"/>
    <mergeCell ref="C18:D18"/>
    <mergeCell ref="E18:F18"/>
    <mergeCell ref="G18:I18"/>
    <mergeCell ref="C15:D15"/>
    <mergeCell ref="E15:F15"/>
    <mergeCell ref="G15:I15"/>
    <mergeCell ref="C16:D16"/>
    <mergeCell ref="E16:F16"/>
    <mergeCell ref="G16:I16"/>
    <mergeCell ref="C13:D13"/>
    <mergeCell ref="E13:F13"/>
    <mergeCell ref="G13:I13"/>
    <mergeCell ref="C14:D14"/>
    <mergeCell ref="E14:F14"/>
    <mergeCell ref="G14:I14"/>
    <mergeCell ref="C11:D11"/>
    <mergeCell ref="E11:F11"/>
    <mergeCell ref="G11:I11"/>
    <mergeCell ref="C12:D12"/>
    <mergeCell ref="E12:F12"/>
    <mergeCell ref="G12:I12"/>
    <mergeCell ref="C9:D9"/>
    <mergeCell ref="E9:F9"/>
    <mergeCell ref="G9:I9"/>
    <mergeCell ref="C10:D10"/>
    <mergeCell ref="E10:F10"/>
    <mergeCell ref="G10:I10"/>
    <mergeCell ref="A2:L2"/>
    <mergeCell ref="D4:F4"/>
    <mergeCell ref="I4:L4"/>
    <mergeCell ref="D5:F5"/>
    <mergeCell ref="I5:L5"/>
    <mergeCell ref="D6:F6"/>
    <mergeCell ref="I6:L6"/>
  </mergeCells>
  <printOptions horizontalCentered="1"/>
  <pageMargins left="0.7" right="0.7" top="0.75" bottom="0.75" header="0.3" footer="0.3"/>
  <pageSetup paperSize="9" scale="53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Legalización anticipo (3)</vt:lpstr>
      <vt:lpstr>Legalización anticipo (4)</vt:lpstr>
      <vt:lpstr>'Legalización anticipo (3)'!Área_de_impresión</vt:lpstr>
      <vt:lpstr>'Legalización anticipo (4)'!Área_de_impresión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Procimec S.A.S</dc:creator>
  <cp:lastModifiedBy>MARCELO AUGUSTO BARRAZA SANTIAGO</cp:lastModifiedBy>
  <cp:lastPrinted>2026-06-23T13:56:57Z</cp:lastPrinted>
  <dcterms:created xsi:type="dcterms:W3CDTF">2015-03-30T14:10:30Z</dcterms:created>
  <dcterms:modified xsi:type="dcterms:W3CDTF">2026-07-01T21:03:11Z</dcterms:modified>
</cp:coreProperties>
</file>